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_defectos" sheetId="1" state="visible" r:id="rId3"/>
    <sheet name="Reportes_individuales" sheetId="2" state="visible" r:id="rId4"/>
    <sheet name="Leyenda" sheetId="3" state="visible" r:id="rId5"/>
  </sheets>
  <definedNames>
    <definedName function="false" hidden="true" localSheetId="0" name="_xlnm._FilterDatabase" vbProcedure="false">Registro_defectos!$A$4:$J$20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<sst xmlns="http://schemas.openxmlformats.org/spreadsheetml/2006/main" count="398" uniqueCount="156">
  <si>
    <t xml:space="preserve">Anexo B — Registro consolidado de defectos · Inspección Fagan</t>
  </si>
  <si>
    <t xml:space="preserve">PE4 Unidad IV · ISR-401 · Sistema SIMPA · ERS v3.0 (Entrega 2A) · Equipo EHQ · Reunión de inspección: 04/08/2026, 10:00–11:25 (85 min)</t>
  </si>
  <si>
    <t xml:space="preserve">N.º</t>
  </si>
  <si>
    <t xml:space="preserve">Sección</t>
  </si>
  <si>
    <t xml:space="preserve">Descripción del defecto</t>
  </si>
  <si>
    <t xml:space="preserve">Tipo</t>
  </si>
  <si>
    <t xml:space="preserve">Severidad</t>
  </si>
  <si>
    <t xml:space="preserve">Requisito afectado</t>
  </si>
  <si>
    <t xml:space="preserve">Reportado en preparación por</t>
  </si>
  <si>
    <t xml:space="preserve">Hallazgo único de</t>
  </si>
  <si>
    <t xml:space="preserve">Corrección aplicada / justificación</t>
  </si>
  <si>
    <t xml:space="preserve">Estado</t>
  </si>
  <si>
    <t xml:space="preserve">D-01</t>
  </si>
  <si>
    <t xml:space="preserve">§3.2.6</t>
  </si>
  <si>
    <t xml:space="preserve">El criterio de verificación de RF-23 no especifica qué rol resuelve una inconsistencia entre peso bruto, tara y neto: solo dice que el sistema "rechaza el registro".</t>
  </si>
  <si>
    <t xml:space="preserve">Ambigüedad</t>
  </si>
  <si>
    <t xml:space="preserve">Mayor</t>
  </si>
  <si>
    <t xml:space="preserve">RF-23</t>
  </si>
  <si>
    <t xml:space="preserve">Escudero (Moderadora); Huilcapi; Quintero</t>
  </si>
  <si>
    <t xml:space="preserve">Escudero (Moderadora)</t>
  </si>
  <si>
    <t xml:space="preserve">RF-23 reformulado: el sistema rechaza el registro, lo marca en estado observado y notifica a la persona administradora para su resolución antes de reintentar.</t>
  </si>
  <si>
    <t xml:space="preserve">Corregido en v3.1</t>
  </si>
  <si>
    <t xml:space="preserve">D-02</t>
  </si>
  <si>
    <t xml:space="preserve">§3.2.2</t>
  </si>
  <si>
    <t xml:space="preserve">RF-38 excluye la labor no presupuestada del cumplimiento del plan, pero no aclara si esa exclusión se recalcula cuando RF-27 arrastra un remanente que luego se ejecuta como labor no presupuestada.</t>
  </si>
  <si>
    <t xml:space="preserve">Consistencia</t>
  </si>
  <si>
    <t xml:space="preserve">RF-27, RF-38</t>
  </si>
  <si>
    <t xml:space="preserve">Escudero (Inspector 2); Escudero (Moderadora)</t>
  </si>
  <si>
    <t xml:space="preserve">Escudero (Inspector 2)</t>
  </si>
  <si>
    <t xml:space="preserve">Nueva postcondición en RF-27: el remanente ejecutado como labor no presupuestada conserva el vínculo con la meta original solo a efectos de reporte, sin computar en el porcentaje de cumplimiento.</t>
  </si>
  <si>
    <t xml:space="preserve">D-03</t>
  </si>
  <si>
    <t xml:space="preserve">§3.3</t>
  </si>
  <si>
    <t xml:space="preserve">RNF-08 exige tasa de éxito ≥90 % en personas "sin experiencia previa", sin excluir ni contemplar perfiles con limitación visual o auditiva en la prueba de usabilidad.</t>
  </si>
  <si>
    <t xml:space="preserve">Completitud</t>
  </si>
  <si>
    <t xml:space="preserve">Menor</t>
  </si>
  <si>
    <t xml:space="preserve">RNF-08</t>
  </si>
  <si>
    <t xml:space="preserve">Huilcapi</t>
  </si>
  <si>
    <t xml:space="preserve">Pendiente justificado: la definición del perfil de la muestra de usabilidad requiere decisión de negocio; se programa para la Entrega 4 (2B).</t>
  </si>
  <si>
    <t xml:space="preserve">Diferido a Entrega 4</t>
  </si>
  <si>
    <t xml:space="preserve">D-04</t>
  </si>
  <si>
    <t xml:space="preserve">§3.2.5</t>
  </si>
  <si>
    <t xml:space="preserve">El criterio de verificación de RF-08 no define el comportamiento esperado cuando la imagen evidencia más de una deficiencia nutricional simultánea.</t>
  </si>
  <si>
    <t xml:space="preserve">Verificabilidad</t>
  </si>
  <si>
    <t xml:space="preserve">RF-08</t>
  </si>
  <si>
    <t xml:space="preserve">Quintero; Escudero (Inspector 2)</t>
  </si>
  <si>
    <t xml:space="preserve">Quintero</t>
  </si>
  <si>
    <t xml:space="preserve">Nueva excepción E3 en CU-02: ante dos o más deficiencias con confianza comparable, el sistema las presenta ordenadas por confianza y solicita priorizar la corrección.</t>
  </si>
  <si>
    <t xml:space="preserve">D-05</t>
  </si>
  <si>
    <t xml:space="preserve">§5.4.2</t>
  </si>
  <si>
    <t xml:space="preserve">Seis requisitos funcionales (RF-11, RF-23, RF-25, RF-32, RF-33, RF-34) dependen de una única evidencia sin plan explícito de triangulación para la Entrega 4.</t>
  </si>
  <si>
    <t xml:space="preserve">Trazabilidad</t>
  </si>
  <si>
    <t xml:space="preserve">Crítico</t>
  </si>
  <si>
    <t xml:space="preserve">RF-11, RF-23, RF-25, RF-32, RF-33, RF-34</t>
  </si>
  <si>
    <t xml:space="preserve">Se incorpora al plan de trabajo pendiente (§7.5 del ERS) la obtención de una segunda fuente independiente para los seis requisitos antes del cierre de la Entrega 4.</t>
  </si>
  <si>
    <t xml:space="preserve">D-06</t>
  </si>
  <si>
    <t xml:space="preserve">§3.2.1</t>
  </si>
  <si>
    <t xml:space="preserve">RF-01 no especifica una política de bloqueo de cuenta tras intentos fallidos de autenticación.</t>
  </si>
  <si>
    <t xml:space="preserve">RF-01</t>
  </si>
  <si>
    <t xml:space="preserve">Quintero; Huilcapi</t>
  </si>
  <si>
    <t xml:space="preserve">RF-01 amplía: tras cinco intentos fallidos consecutivos la cuenta se bloquea 15 minutos y el evento se registra en la bitácora de seguridad (RNF-13).</t>
  </si>
  <si>
    <t xml:space="preserve">D-07</t>
  </si>
  <si>
    <t xml:space="preserve">§3.5</t>
  </si>
  <si>
    <t xml:space="preserve">RD-05 exige respaldo centralizado en la nube para la inferencia de IA mientras RD-02 exige operación 100 % funcional sin conexión; no se declara modo de degradación cuando el servicio de IA es inalcanzable de forma prolongada.</t>
  </si>
  <si>
    <t xml:space="preserve">RD-02, RD-05</t>
  </si>
  <si>
    <t xml:space="preserve">Quintero; Escudero (Moderadora); Escudero (Inspector 2)</t>
  </si>
  <si>
    <t xml:space="preserve">Se crea RF-40 mediante RFC-01 (modo de operación degradada) y se reformula RD-05: ante indisponibilidad prolongada el cliente opera con los últimos umbrales sincronizados.</t>
  </si>
  <si>
    <t xml:space="preserve">D-08</t>
  </si>
  <si>
    <t xml:space="preserve">§3.2.3</t>
  </si>
  <si>
    <t xml:space="preserve">RF-15 condiciona la visualización de recorridos a la vigencia del consentimiento (RL-03), pero no define el plazo máximo en que la revocación debe propagarse al backend.</t>
  </si>
  <si>
    <t xml:space="preserve">RF-15, RL-03</t>
  </si>
  <si>
    <t xml:space="preserve">Escudero (Moderadora); Escudero (Inspector 2)</t>
  </si>
  <si>
    <t xml:space="preserve">RL-03 amplía: la revocación del consentimiento de geolocalización se propaga al backend en un plazo máximo de 60 segundos desde su registro en el dispositivo.</t>
  </si>
  <si>
    <t xml:space="preserve">D-09</t>
  </si>
  <si>
    <t xml:space="preserve">§4.2</t>
  </si>
  <si>
    <t xml:space="preserve">El flujo alternativo B de CU-06 (clasificación de sobremadurez) no tiene historia de usuario ni criterio de aceptación asociado en la Tabla 65 del ERS base.</t>
  </si>
  <si>
    <t xml:space="preserve">CU-06</t>
  </si>
  <si>
    <t xml:space="preserve">Huilcapi; Quintero</t>
  </si>
  <si>
    <t xml:space="preserve">Se añaden HU-20 y CA-20: como técnico de la extractora, quiero que el sistema advierta sobremadurez para anticipar el incremento de acidez del aceite.</t>
  </si>
  <si>
    <t xml:space="preserve">D-10</t>
  </si>
  <si>
    <t xml:space="preserve">RF-36 no define el criterio de desempate cuando dos tarifas de una misma labor tienen vigencias traslapadas.</t>
  </si>
  <si>
    <t xml:space="preserve">RF-36</t>
  </si>
  <si>
    <t xml:space="preserve">Pendiente justificado: la regla de desempate depende de la política de tarifas del cliente; se difiere a la Entrega 4 (2B).</t>
  </si>
  <si>
    <t xml:space="preserve">D-11</t>
  </si>
  <si>
    <t xml:space="preserve">§6.1 y §5.3.3</t>
  </si>
  <si>
    <t xml:space="preserve">El cálculo WSJF identifica a RF-10 como prerrequisito técnico de RF-21, pero el MVP declara RF-10 "No implementado" sin registrar el riesgo de bloqueo en cadena para la Entrega 4.</t>
  </si>
  <si>
    <t xml:space="preserve">Factibilidad</t>
  </si>
  <si>
    <t xml:space="preserve">RF-10, RF-21</t>
  </si>
  <si>
    <t xml:space="preserve">Se añade a §6.3 del ERS: RF-10 se declara bloqueante de RF-21 en el plan de incorporación de la Entrega 4; ambos se implementan en el mismo incremento.</t>
  </si>
  <si>
    <t xml:space="preserve">D-12</t>
  </si>
  <si>
    <t xml:space="preserve">RNF-11 exige sincronización sin pérdida ni duplicación, pero no especifica la política de resolución cuando dos dispositivos sincronizan de forma concurrente el mismo registro de avance (RF-28) tras un registro delegado.</t>
  </si>
  <si>
    <t xml:space="preserve">RNF-11, RF-28</t>
  </si>
  <si>
    <t xml:space="preserve">Escudero (Moderadora); Quintero</t>
  </si>
  <si>
    <t xml:space="preserve">RNF-11 reformulado mediante RFC-02: política last-write-wins sobre fechaRegistro, con bitácora de conflicto y notificación al supervisor que efectuó el registro delegado.</t>
  </si>
  <si>
    <t xml:space="preserve">D-13</t>
  </si>
  <si>
    <t xml:space="preserve">§3.2.7</t>
  </si>
  <si>
    <t xml:space="preserve">RF-32 declara la exclusión de datos personales en la exportación, pero no define un mecanismo de auditoría que verifique el filtro antes del envío.</t>
  </si>
  <si>
    <t xml:space="preserve">RF-32</t>
  </si>
  <si>
    <t xml:space="preserve">Pendiente justificado: el alcance del módulo de auditoría excede el margen de esta práctica; se difiere a la Entrega 4 (2B).</t>
  </si>
  <si>
    <t xml:space="preserve">D-14</t>
  </si>
  <si>
    <t xml:space="preserve">§2.4 y §3.4</t>
  </si>
  <si>
    <t xml:space="preserve">Agrocalidad figura en el mapa de partes interesadas con poder alto, pero ninguna fila de la Tabla 51 (requisitos legales) la traza a un RL específico.</t>
  </si>
  <si>
    <t xml:space="preserve">Tabla 51 (RL)</t>
  </si>
  <si>
    <t xml:space="preserve">Pendiente justificado: la traza requiere confirmar con el cliente la normativa de Agrocalidad aplicable; se difiere a la Entrega 4 (2B).</t>
  </si>
  <si>
    <t xml:space="preserve">D-15</t>
  </si>
  <si>
    <t xml:space="preserve">§3.2.4</t>
  </si>
  <si>
    <t xml:space="preserve">RF-14 asume una jornada continua de rastreo GPS; no se especifica el comportamiento del conteo cuando la sesión se interrumpe a mitad de jornada por agotamiento de batería.</t>
  </si>
  <si>
    <t xml:space="preserve">RF-14</t>
  </si>
  <si>
    <t xml:space="preserve">Nueva excepción E3 en CU-03: si el dispositivo se apaga antes del cierre de jornada, el sistema conserva las marcaciones sincronizadas y solicita confirmar manualmente el tramo no registrado.</t>
  </si>
  <si>
    <t xml:space="preserve">D-16</t>
  </si>
  <si>
    <t xml:space="preserve">§7.3</t>
  </si>
  <si>
    <t xml:space="preserve">La limitación L-09 (conflicto de interés por consanguinidad) se declara sin fecha límite ni responsable de su resolución o cierre definitivo.</t>
  </si>
  <si>
    <t xml:space="preserve">L-09</t>
  </si>
  <si>
    <t xml:space="preserve">Resuelto administrativamente: se fija como responsable al analista líder y como plazo el cierre de la Entrega 4 (2B).</t>
  </si>
  <si>
    <t xml:space="preserve">Verificación de mínimos exigidos por la guía PE4</t>
  </si>
  <si>
    <t xml:space="preserve">Defectos únicos consolidados (mínimo 15)</t>
  </si>
  <si>
    <t xml:space="preserve">Defectos críticos</t>
  </si>
  <si>
    <t xml:space="preserve">Defectos mayores</t>
  </si>
  <si>
    <t xml:space="preserve">Defectos menores</t>
  </si>
  <si>
    <t xml:space="preserve">Críticos + mayores (mínimo 3)</t>
  </si>
  <si>
    <t xml:space="preserve">Defectos corregidos en v3.1</t>
  </si>
  <si>
    <t xml:space="preserve">Defectos diferidos con justificación</t>
  </si>
  <si>
    <t xml:space="preserve">Tasa de corrección de críticos y mayores</t>
  </si>
  <si>
    <t xml:space="preserve">Nota: los valores de este bloque son fórmulas; se recalculan al editar el registro. Fuente de los defectos: copias individuales del Anexo A (28 reportes) consolidadas en la reunión del 04/08/2026.</t>
  </si>
  <si>
    <t xml:space="preserve">Trazabilidad de los 28 reportes individuales de preparación hacia los 16 defectos únicos</t>
  </si>
  <si>
    <t xml:space="preserve">Inspector</t>
  </si>
  <si>
    <t xml:space="preserve">Rol</t>
  </si>
  <si>
    <t xml:space="preserve">Defecto reportado</t>
  </si>
  <si>
    <t xml:space="preserve">¿Primer reporte (hallazgo único)?</t>
  </si>
  <si>
    <t xml:space="preserve">Escudero Plaza María del Rosario</t>
  </si>
  <si>
    <t xml:space="preserve">Moderadora</t>
  </si>
  <si>
    <t xml:space="preserve">Sí</t>
  </si>
  <si>
    <t xml:space="preserve">No</t>
  </si>
  <si>
    <t xml:space="preserve">Huilcapi León Denisses Fabiola</t>
  </si>
  <si>
    <t xml:space="preserve">Lectora</t>
  </si>
  <si>
    <t xml:space="preserve">Quintero Gende Erick Jahir</t>
  </si>
  <si>
    <t xml:space="preserve">Inspector 1</t>
  </si>
  <si>
    <t xml:space="preserve">Inspector 2 (rotativo)</t>
  </si>
  <si>
    <t xml:space="preserve">Total de reportes individuales</t>
  </si>
  <si>
    <t xml:space="preserve">Defectos únicos consolidados</t>
  </si>
  <si>
    <t xml:space="preserve">Solapamiento entre inspectores</t>
  </si>
  <si>
    <t xml:space="preserve">Leyenda y criterios de clasificación</t>
  </si>
  <si>
    <t xml:space="preserve">Campo</t>
  </si>
  <si>
    <t xml:space="preserve">Valores admitidos</t>
  </si>
  <si>
    <t xml:space="preserve">Definición aplicada</t>
  </si>
  <si>
    <t xml:space="preserve">El enunciado admite más de una interpretación observable (ISO/IEC/IEEE 29148:2018, §6.4).</t>
  </si>
  <si>
    <t xml:space="preserve">Falta un caso, un actor, un umbral o una política necesaria para operar el requisito.</t>
  </si>
  <si>
    <t xml:space="preserve">El requisito contradice a otro requisito o restricción ya aprobada.</t>
  </si>
  <si>
    <t xml:space="preserve">No existe un procedimiento de prueba objetivo que decida si el requisito se cumple.</t>
  </si>
  <si>
    <t xml:space="preserve">Falta el vínculo hacia la fuente (pre-traceability) o hacia el artefacto (post-traceability).</t>
  </si>
  <si>
    <t xml:space="preserve">El requisito o su plan no es realizable con los recursos, plazos o dependencias declaradas.</t>
  </si>
  <si>
    <t xml:space="preserve">Impide construir o validar el sistema tal como está especificado; debe corregirse antes de diseño.</t>
  </si>
  <si>
    <t xml:space="preserve">Genera retrabajo o ambigüedad en la implementación; se corrige en esta versión.</t>
  </si>
  <si>
    <t xml:space="preserve">No compromete la validez funcional del ERS; admite diferimiento justificado.</t>
  </si>
  <si>
    <t xml:space="preserve">Corrección aplicada y registrada en el CHANGELOG.md de la línea base baseline-v3.1.</t>
  </si>
  <si>
    <t xml:space="preserve">Pendiente justificado: requiere decisión de negocio o de alcance fuera de esta práctica.</t>
  </si>
  <si>
    <t xml:space="preserve">Regla de la técnica: la inspección detecta, no corrige. Las correcciones de la columna I se acordaron después de la reunión (§5 del informe PE4).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</si>
</sst>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F4CC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52"/>
    <col collapsed="false" customWidth="true" hidden="false" outlineLevel="0" max="10" min="10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57.75" hidden="false" customHeight="true" outlineLevel="0" collapsed="false">
      <c r="A5" s="4" t="s">
        <v>12</v>
      </c>
      <c r="B5" s="4" t="s">
        <v>13</v>
      </c>
      <c r="C5" s="5" t="s">
        <v>14</v>
      </c>
      <c r="D5" s="4" t="s">
        <v>15</v>
      </c>
      <c r="E5" s="6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4" t="s">
        <v>21</v>
      </c>
    </row>
    <row r="6" customFormat="false" ht="57.75" hidden="false" customHeight="true" outlineLevel="0" collapsed="false">
      <c r="A6" s="4" t="s">
        <v>22</v>
      </c>
      <c r="B6" s="4" t="s">
        <v>23</v>
      </c>
      <c r="C6" s="5" t="s">
        <v>24</v>
      </c>
      <c r="D6" s="4" t="s">
        <v>25</v>
      </c>
      <c r="E6" s="6" t="s">
        <v>16</v>
      </c>
      <c r="F6" s="5" t="s">
        <v>26</v>
      </c>
      <c r="G6" s="5" t="s">
        <v>27</v>
      </c>
      <c r="H6" s="5" t="s">
        <v>28</v>
      </c>
      <c r="I6" s="5" t="s">
        <v>29</v>
      </c>
      <c r="J6" s="4" t="s">
        <v>21</v>
      </c>
    </row>
    <row r="7" customFormat="false" ht="57.75" hidden="false" customHeight="true" outlineLevel="0" collapsed="false">
      <c r="A7" s="4" t="s">
        <v>30</v>
      </c>
      <c r="B7" s="4" t="s">
        <v>31</v>
      </c>
      <c r="C7" s="5" t="s">
        <v>32</v>
      </c>
      <c r="D7" s="4" t="s">
        <v>33</v>
      </c>
      <c r="E7" s="7" t="s">
        <v>34</v>
      </c>
      <c r="F7" s="5" t="s">
        <v>35</v>
      </c>
      <c r="G7" s="5" t="s">
        <v>36</v>
      </c>
      <c r="H7" s="5" t="s">
        <v>36</v>
      </c>
      <c r="I7" s="5" t="s">
        <v>37</v>
      </c>
      <c r="J7" s="4" t="s">
        <v>38</v>
      </c>
    </row>
    <row r="8" customFormat="false" ht="57.75" hidden="false" customHeight="true" outlineLevel="0" collapsed="false">
      <c r="A8" s="4" t="s">
        <v>39</v>
      </c>
      <c r="B8" s="4" t="s">
        <v>40</v>
      </c>
      <c r="C8" s="5" t="s">
        <v>41</v>
      </c>
      <c r="D8" s="4" t="s">
        <v>42</v>
      </c>
      <c r="E8" s="6" t="s">
        <v>16</v>
      </c>
      <c r="F8" s="5" t="s">
        <v>43</v>
      </c>
      <c r="G8" s="5" t="s">
        <v>44</v>
      </c>
      <c r="H8" s="5" t="s">
        <v>45</v>
      </c>
      <c r="I8" s="5" t="s">
        <v>46</v>
      </c>
      <c r="J8" s="4" t="s">
        <v>21</v>
      </c>
    </row>
    <row r="9" customFormat="false" ht="57.75" hidden="false" customHeight="true" outlineLevel="0" collapsed="false">
      <c r="A9" s="4" t="s">
        <v>47</v>
      </c>
      <c r="B9" s="4" t="s">
        <v>48</v>
      </c>
      <c r="C9" s="5" t="s">
        <v>49</v>
      </c>
      <c r="D9" s="4" t="s">
        <v>50</v>
      </c>
      <c r="E9" s="8" t="s">
        <v>51</v>
      </c>
      <c r="F9" s="5" t="s">
        <v>52</v>
      </c>
      <c r="G9" s="5" t="s">
        <v>19</v>
      </c>
      <c r="H9" s="5" t="s">
        <v>19</v>
      </c>
      <c r="I9" s="5" t="s">
        <v>53</v>
      </c>
      <c r="J9" s="4" t="s">
        <v>21</v>
      </c>
    </row>
    <row r="10" customFormat="false" ht="57.75" hidden="false" customHeight="true" outlineLevel="0" collapsed="false">
      <c r="A10" s="4" t="s">
        <v>54</v>
      </c>
      <c r="B10" s="4" t="s">
        <v>55</v>
      </c>
      <c r="C10" s="5" t="s">
        <v>56</v>
      </c>
      <c r="D10" s="4" t="s">
        <v>33</v>
      </c>
      <c r="E10" s="6" t="s">
        <v>16</v>
      </c>
      <c r="F10" s="5" t="s">
        <v>57</v>
      </c>
      <c r="G10" s="5" t="s">
        <v>58</v>
      </c>
      <c r="H10" s="5" t="s">
        <v>45</v>
      </c>
      <c r="I10" s="5" t="s">
        <v>59</v>
      </c>
      <c r="J10" s="4" t="s">
        <v>21</v>
      </c>
    </row>
    <row r="11" customFormat="false" ht="57.75" hidden="false" customHeight="true" outlineLevel="0" collapsed="false">
      <c r="A11" s="4" t="s">
        <v>60</v>
      </c>
      <c r="B11" s="4" t="s">
        <v>61</v>
      </c>
      <c r="C11" s="5" t="s">
        <v>62</v>
      </c>
      <c r="D11" s="4" t="s">
        <v>25</v>
      </c>
      <c r="E11" s="8" t="s">
        <v>51</v>
      </c>
      <c r="F11" s="5" t="s">
        <v>63</v>
      </c>
      <c r="G11" s="5" t="s">
        <v>64</v>
      </c>
      <c r="H11" s="5" t="s">
        <v>45</v>
      </c>
      <c r="I11" s="5" t="s">
        <v>65</v>
      </c>
      <c r="J11" s="4" t="s">
        <v>21</v>
      </c>
    </row>
    <row r="12" customFormat="false" ht="57.75" hidden="false" customHeight="true" outlineLevel="0" collapsed="false">
      <c r="A12" s="4" t="s">
        <v>66</v>
      </c>
      <c r="B12" s="4" t="s">
        <v>67</v>
      </c>
      <c r="C12" s="5" t="s">
        <v>68</v>
      </c>
      <c r="D12" s="4" t="s">
        <v>15</v>
      </c>
      <c r="E12" s="6" t="s">
        <v>16</v>
      </c>
      <c r="F12" s="5" t="s">
        <v>69</v>
      </c>
      <c r="G12" s="5" t="s">
        <v>70</v>
      </c>
      <c r="H12" s="5" t="s">
        <v>19</v>
      </c>
      <c r="I12" s="5" t="s">
        <v>71</v>
      </c>
      <c r="J12" s="4" t="s">
        <v>21</v>
      </c>
    </row>
    <row r="13" customFormat="false" ht="57.75" hidden="false" customHeight="true" outlineLevel="0" collapsed="false">
      <c r="A13" s="4" t="s">
        <v>72</v>
      </c>
      <c r="B13" s="4" t="s">
        <v>73</v>
      </c>
      <c r="C13" s="5" t="s">
        <v>74</v>
      </c>
      <c r="D13" s="4" t="s">
        <v>50</v>
      </c>
      <c r="E13" s="6" t="s">
        <v>16</v>
      </c>
      <c r="F13" s="5" t="s">
        <v>75</v>
      </c>
      <c r="G13" s="5" t="s">
        <v>76</v>
      </c>
      <c r="H13" s="5" t="s">
        <v>36</v>
      </c>
      <c r="I13" s="5" t="s">
        <v>77</v>
      </c>
      <c r="J13" s="4" t="s">
        <v>21</v>
      </c>
    </row>
    <row r="14" customFormat="false" ht="57.75" hidden="false" customHeight="true" outlineLevel="0" collapsed="false">
      <c r="A14" s="4" t="s">
        <v>78</v>
      </c>
      <c r="B14" s="4" t="s">
        <v>23</v>
      </c>
      <c r="C14" s="5" t="s">
        <v>79</v>
      </c>
      <c r="D14" s="4" t="s">
        <v>33</v>
      </c>
      <c r="E14" s="7" t="s">
        <v>34</v>
      </c>
      <c r="F14" s="5" t="s">
        <v>80</v>
      </c>
      <c r="G14" s="5" t="s">
        <v>28</v>
      </c>
      <c r="H14" s="5" t="s">
        <v>28</v>
      </c>
      <c r="I14" s="5" t="s">
        <v>81</v>
      </c>
      <c r="J14" s="4" t="s">
        <v>38</v>
      </c>
    </row>
    <row r="15" customFormat="false" ht="57.75" hidden="false" customHeight="true" outlineLevel="0" collapsed="false">
      <c r="A15" s="4" t="s">
        <v>82</v>
      </c>
      <c r="B15" s="4" t="s">
        <v>83</v>
      </c>
      <c r="C15" s="5" t="s">
        <v>84</v>
      </c>
      <c r="D15" s="4" t="s">
        <v>85</v>
      </c>
      <c r="E15" s="6" t="s">
        <v>16</v>
      </c>
      <c r="F15" s="5" t="s">
        <v>86</v>
      </c>
      <c r="G15" s="5" t="s">
        <v>44</v>
      </c>
      <c r="H15" s="5" t="s">
        <v>45</v>
      </c>
      <c r="I15" s="5" t="s">
        <v>87</v>
      </c>
      <c r="J15" s="4" t="s">
        <v>21</v>
      </c>
    </row>
    <row r="16" customFormat="false" ht="57.75" hidden="false" customHeight="true" outlineLevel="0" collapsed="false">
      <c r="A16" s="4" t="s">
        <v>88</v>
      </c>
      <c r="B16" s="4" t="s">
        <v>31</v>
      </c>
      <c r="C16" s="5" t="s">
        <v>89</v>
      </c>
      <c r="D16" s="4" t="s">
        <v>42</v>
      </c>
      <c r="E16" s="8" t="s">
        <v>51</v>
      </c>
      <c r="F16" s="5" t="s">
        <v>90</v>
      </c>
      <c r="G16" s="5" t="s">
        <v>91</v>
      </c>
      <c r="H16" s="5" t="s">
        <v>19</v>
      </c>
      <c r="I16" s="5" t="s">
        <v>92</v>
      </c>
      <c r="J16" s="4" t="s">
        <v>21</v>
      </c>
    </row>
    <row r="17" customFormat="false" ht="57.75" hidden="false" customHeight="true" outlineLevel="0" collapsed="false">
      <c r="A17" s="4" t="s">
        <v>93</v>
      </c>
      <c r="B17" s="4" t="s">
        <v>94</v>
      </c>
      <c r="C17" s="5" t="s">
        <v>95</v>
      </c>
      <c r="D17" s="4" t="s">
        <v>42</v>
      </c>
      <c r="E17" s="7" t="s">
        <v>34</v>
      </c>
      <c r="F17" s="5" t="s">
        <v>96</v>
      </c>
      <c r="G17" s="5" t="s">
        <v>28</v>
      </c>
      <c r="H17" s="5" t="s">
        <v>28</v>
      </c>
      <c r="I17" s="5" t="s">
        <v>97</v>
      </c>
      <c r="J17" s="4" t="s">
        <v>38</v>
      </c>
    </row>
    <row r="18" customFormat="false" ht="57.75" hidden="false" customHeight="true" outlineLevel="0" collapsed="false">
      <c r="A18" s="4" t="s">
        <v>98</v>
      </c>
      <c r="B18" s="4" t="s">
        <v>99</v>
      </c>
      <c r="C18" s="5" t="s">
        <v>100</v>
      </c>
      <c r="D18" s="4" t="s">
        <v>50</v>
      </c>
      <c r="E18" s="7" t="s">
        <v>34</v>
      </c>
      <c r="F18" s="5" t="s">
        <v>101</v>
      </c>
      <c r="G18" s="5" t="s">
        <v>19</v>
      </c>
      <c r="H18" s="5" t="s">
        <v>19</v>
      </c>
      <c r="I18" s="5" t="s">
        <v>102</v>
      </c>
      <c r="J18" s="4" t="s">
        <v>38</v>
      </c>
    </row>
    <row r="19" customFormat="false" ht="57.75" hidden="false" customHeight="true" outlineLevel="0" collapsed="false">
      <c r="A19" s="4" t="s">
        <v>103</v>
      </c>
      <c r="B19" s="4" t="s">
        <v>104</v>
      </c>
      <c r="C19" s="5" t="s">
        <v>105</v>
      </c>
      <c r="D19" s="4" t="s">
        <v>33</v>
      </c>
      <c r="E19" s="6" t="s">
        <v>16</v>
      </c>
      <c r="F19" s="5" t="s">
        <v>106</v>
      </c>
      <c r="G19" s="5" t="s">
        <v>58</v>
      </c>
      <c r="H19" s="5" t="s">
        <v>45</v>
      </c>
      <c r="I19" s="5" t="s">
        <v>107</v>
      </c>
      <c r="J19" s="4" t="s">
        <v>21</v>
      </c>
    </row>
    <row r="20" customFormat="false" ht="57.75" hidden="false" customHeight="true" outlineLevel="0" collapsed="false">
      <c r="A20" s="4" t="s">
        <v>108</v>
      </c>
      <c r="B20" s="4" t="s">
        <v>109</v>
      </c>
      <c r="C20" s="5" t="s">
        <v>110</v>
      </c>
      <c r="D20" s="4" t="s">
        <v>85</v>
      </c>
      <c r="E20" s="7" t="s">
        <v>34</v>
      </c>
      <c r="F20" s="5" t="s">
        <v>111</v>
      </c>
      <c r="G20" s="5" t="s">
        <v>36</v>
      </c>
      <c r="H20" s="5" t="s">
        <v>36</v>
      </c>
      <c r="I20" s="5" t="s">
        <v>112</v>
      </c>
      <c r="J20" s="4" t="s">
        <v>38</v>
      </c>
    </row>
    <row r="22" customFormat="false" ht="15" hidden="false" customHeight="false" outlineLevel="0" collapsed="false">
      <c r="A22" s="9" t="s">
        <v>113</v>
      </c>
    </row>
    <row r="23" customFormat="false" ht="15" hidden="false" customHeight="false" outlineLevel="0" collapsed="false">
      <c r="A23" s="10" t="s">
        <v>114</v>
      </c>
      <c r="B23" s="10"/>
      <c r="C23" s="11" t="n">
        <f aca="false">COUNTA(A5:A20)</f>
        <v>16</v>
      </c>
    </row>
    <row r="24" customFormat="false" ht="15" hidden="false" customHeight="false" outlineLevel="0" collapsed="false">
      <c r="A24" s="10" t="s">
        <v>115</v>
      </c>
      <c r="B24" s="10"/>
      <c r="C24" s="11" t="n">
        <f aca="false">COUNTIF(E5:E20,"Crítico")</f>
        <v>3</v>
      </c>
    </row>
    <row r="25" customFormat="false" ht="15" hidden="false" customHeight="false" outlineLevel="0" collapsed="false">
      <c r="A25" s="10" t="s">
        <v>116</v>
      </c>
      <c r="B25" s="10"/>
      <c r="C25" s="11" t="n">
        <f aca="false">COUNTIF(E5:E20,"Mayor")</f>
        <v>8</v>
      </c>
    </row>
    <row r="26" customFormat="false" ht="15" hidden="false" customHeight="false" outlineLevel="0" collapsed="false">
      <c r="A26" s="10" t="s">
        <v>117</v>
      </c>
      <c r="B26" s="10"/>
      <c r="C26" s="11" t="n">
        <f aca="false">COUNTIF(E5:E20,"Menor")</f>
        <v>5</v>
      </c>
    </row>
    <row r="27" customFormat="false" ht="15" hidden="false" customHeight="false" outlineLevel="0" collapsed="false">
      <c r="A27" s="10" t="s">
        <v>118</v>
      </c>
      <c r="B27" s="10"/>
      <c r="C27" s="11" t="n">
        <f aca="false">COUNTIF(E5:E20,"Crítico")+COUNTIF(E5:E20,"Mayor")</f>
        <v>11</v>
      </c>
    </row>
    <row r="28" customFormat="false" ht="15" hidden="false" customHeight="false" outlineLevel="0" collapsed="false">
      <c r="A28" s="10" t="s">
        <v>119</v>
      </c>
      <c r="B28" s="10"/>
      <c r="C28" s="11" t="n">
        <f aca="false">COUNTIF(J5:J20,"Corregido en v3.1")</f>
        <v>11</v>
      </c>
    </row>
    <row r="29" customFormat="false" ht="15" hidden="false" customHeight="false" outlineLevel="0" collapsed="false">
      <c r="A29" s="10" t="s">
        <v>120</v>
      </c>
      <c r="B29" s="10"/>
      <c r="C29" s="11" t="n">
        <f aca="false">COUNTIF(J5:J20,"Diferido a Entrega 4")</f>
        <v>5</v>
      </c>
    </row>
    <row r="30" customFormat="false" ht="15" hidden="false" customHeight="false" outlineLevel="0" collapsed="false">
      <c r="A30" s="10" t="s">
        <v>121</v>
      </c>
      <c r="B30" s="10"/>
      <c r="C30" s="12" t="n">
        <f aca="false">COUNTIF(J5:J20,"Corregido en v3.1")/(COUNTIF(E5:E20,"Crítico")+COUNTIF(E5:E20,"Mayor"))</f>
        <v>1</v>
      </c>
    </row>
    <row r="32" customFormat="false" ht="15" hidden="false" customHeight="false" outlineLevel="0" collapsed="false">
      <c r="A32" s="2" t="s">
        <v>122</v>
      </c>
    </row>
  </sheetData>
  <autoFilter ref="A4:J20"/>
  <mergeCells count="8">
    <mergeCell ref="A23:B23"/>
    <mergeCell ref="A24:B24"/>
    <mergeCell ref="A25:B25"/>
    <mergeCell ref="A26:B26"/>
    <mergeCell ref="A27:B27"/>
    <mergeCell ref="A28:B28"/>
    <mergeCell ref="A29:B29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16.15" hidden="false" customHeight="false" outlineLevel="0" collapsed="false">
      <c r="A1" s="1" t="s">
        <v>123</v>
      </c>
    </row>
    <row r="3" customFormat="false" ht="23.85" hidden="false" customHeight="false" outlineLevel="0" collapsed="false">
      <c r="A3" s="3" t="s">
        <v>124</v>
      </c>
      <c r="B3" s="3" t="s">
        <v>125</v>
      </c>
      <c r="C3" s="3" t="s">
        <v>126</v>
      </c>
      <c r="D3" s="3" t="s">
        <v>5</v>
      </c>
      <c r="E3" s="3" t="s">
        <v>6</v>
      </c>
      <c r="F3" s="3" t="s">
        <v>127</v>
      </c>
    </row>
    <row r="4" customFormat="false" ht="15" hidden="false" customHeight="false" outlineLevel="0" collapsed="false">
      <c r="A4" s="5" t="s">
        <v>128</v>
      </c>
      <c r="B4" s="5" t="s">
        <v>129</v>
      </c>
      <c r="C4" s="4" t="s">
        <v>12</v>
      </c>
      <c r="D4" s="4" t="s">
        <v>15</v>
      </c>
      <c r="E4" s="4" t="s">
        <v>16</v>
      </c>
      <c r="F4" s="4" t="s">
        <v>130</v>
      </c>
    </row>
    <row r="5" customFormat="false" ht="15" hidden="false" customHeight="false" outlineLevel="0" collapsed="false">
      <c r="A5" s="5" t="s">
        <v>128</v>
      </c>
      <c r="B5" s="5" t="s">
        <v>129</v>
      </c>
      <c r="C5" s="4" t="s">
        <v>22</v>
      </c>
      <c r="D5" s="4" t="s">
        <v>25</v>
      </c>
      <c r="E5" s="4" t="s">
        <v>16</v>
      </c>
      <c r="F5" s="4" t="s">
        <v>131</v>
      </c>
    </row>
    <row r="6" customFormat="false" ht="15" hidden="false" customHeight="false" outlineLevel="0" collapsed="false">
      <c r="A6" s="5" t="s">
        <v>128</v>
      </c>
      <c r="B6" s="5" t="s">
        <v>129</v>
      </c>
      <c r="C6" s="4" t="s">
        <v>47</v>
      </c>
      <c r="D6" s="4" t="s">
        <v>50</v>
      </c>
      <c r="E6" s="4" t="s">
        <v>51</v>
      </c>
      <c r="F6" s="4" t="s">
        <v>130</v>
      </c>
    </row>
    <row r="7" customFormat="false" ht="15" hidden="false" customHeight="false" outlineLevel="0" collapsed="false">
      <c r="A7" s="5" t="s">
        <v>128</v>
      </c>
      <c r="B7" s="5" t="s">
        <v>129</v>
      </c>
      <c r="C7" s="4" t="s">
        <v>60</v>
      </c>
      <c r="D7" s="4" t="s">
        <v>25</v>
      </c>
      <c r="E7" s="4" t="s">
        <v>51</v>
      </c>
      <c r="F7" s="4" t="s">
        <v>131</v>
      </c>
    </row>
    <row r="8" customFormat="false" ht="15" hidden="false" customHeight="false" outlineLevel="0" collapsed="false">
      <c r="A8" s="5" t="s">
        <v>128</v>
      </c>
      <c r="B8" s="5" t="s">
        <v>129</v>
      </c>
      <c r="C8" s="4" t="s">
        <v>66</v>
      </c>
      <c r="D8" s="4" t="s">
        <v>15</v>
      </c>
      <c r="E8" s="4" t="s">
        <v>16</v>
      </c>
      <c r="F8" s="4" t="s">
        <v>130</v>
      </c>
    </row>
    <row r="9" customFormat="false" ht="15" hidden="false" customHeight="false" outlineLevel="0" collapsed="false">
      <c r="A9" s="5" t="s">
        <v>128</v>
      </c>
      <c r="B9" s="5" t="s">
        <v>129</v>
      </c>
      <c r="C9" s="4" t="s">
        <v>88</v>
      </c>
      <c r="D9" s="4" t="s">
        <v>42</v>
      </c>
      <c r="E9" s="4" t="s">
        <v>51</v>
      </c>
      <c r="F9" s="4" t="s">
        <v>130</v>
      </c>
    </row>
    <row r="10" customFormat="false" ht="15" hidden="false" customHeight="false" outlineLevel="0" collapsed="false">
      <c r="A10" s="5" t="s">
        <v>128</v>
      </c>
      <c r="B10" s="5" t="s">
        <v>129</v>
      </c>
      <c r="C10" s="4" t="s">
        <v>98</v>
      </c>
      <c r="D10" s="4" t="s">
        <v>50</v>
      </c>
      <c r="E10" s="4" t="s">
        <v>34</v>
      </c>
      <c r="F10" s="4" t="s">
        <v>130</v>
      </c>
    </row>
    <row r="11" customFormat="false" ht="15" hidden="false" customHeight="false" outlineLevel="0" collapsed="false">
      <c r="A11" s="5" t="s">
        <v>132</v>
      </c>
      <c r="B11" s="5" t="s">
        <v>133</v>
      </c>
      <c r="C11" s="4" t="s">
        <v>12</v>
      </c>
      <c r="D11" s="4" t="s">
        <v>15</v>
      </c>
      <c r="E11" s="4" t="s">
        <v>16</v>
      </c>
      <c r="F11" s="4" t="s">
        <v>131</v>
      </c>
    </row>
    <row r="12" customFormat="false" ht="15" hidden="false" customHeight="false" outlineLevel="0" collapsed="false">
      <c r="A12" s="5" t="s">
        <v>132</v>
      </c>
      <c r="B12" s="5" t="s">
        <v>133</v>
      </c>
      <c r="C12" s="4" t="s">
        <v>30</v>
      </c>
      <c r="D12" s="4" t="s">
        <v>33</v>
      </c>
      <c r="E12" s="4" t="s">
        <v>34</v>
      </c>
      <c r="F12" s="4" t="s">
        <v>130</v>
      </c>
    </row>
    <row r="13" customFormat="false" ht="15" hidden="false" customHeight="false" outlineLevel="0" collapsed="false">
      <c r="A13" s="5" t="s">
        <v>132</v>
      </c>
      <c r="B13" s="5" t="s">
        <v>133</v>
      </c>
      <c r="C13" s="4" t="s">
        <v>54</v>
      </c>
      <c r="D13" s="4" t="s">
        <v>33</v>
      </c>
      <c r="E13" s="4" t="s">
        <v>16</v>
      </c>
      <c r="F13" s="4" t="s">
        <v>131</v>
      </c>
    </row>
    <row r="14" customFormat="false" ht="15" hidden="false" customHeight="false" outlineLevel="0" collapsed="false">
      <c r="A14" s="5" t="s">
        <v>132</v>
      </c>
      <c r="B14" s="5" t="s">
        <v>133</v>
      </c>
      <c r="C14" s="4" t="s">
        <v>72</v>
      </c>
      <c r="D14" s="4" t="s">
        <v>50</v>
      </c>
      <c r="E14" s="4" t="s">
        <v>16</v>
      </c>
      <c r="F14" s="4" t="s">
        <v>130</v>
      </c>
    </row>
    <row r="15" customFormat="false" ht="15" hidden="false" customHeight="false" outlineLevel="0" collapsed="false">
      <c r="A15" s="5" t="s">
        <v>132</v>
      </c>
      <c r="B15" s="5" t="s">
        <v>133</v>
      </c>
      <c r="C15" s="4" t="s">
        <v>103</v>
      </c>
      <c r="D15" s="4" t="s">
        <v>33</v>
      </c>
      <c r="E15" s="4" t="s">
        <v>16</v>
      </c>
      <c r="F15" s="4" t="s">
        <v>131</v>
      </c>
    </row>
    <row r="16" customFormat="false" ht="15" hidden="false" customHeight="false" outlineLevel="0" collapsed="false">
      <c r="A16" s="5" t="s">
        <v>132</v>
      </c>
      <c r="B16" s="5" t="s">
        <v>133</v>
      </c>
      <c r="C16" s="4" t="s">
        <v>108</v>
      </c>
      <c r="D16" s="4" t="s">
        <v>85</v>
      </c>
      <c r="E16" s="4" t="s">
        <v>34</v>
      </c>
      <c r="F16" s="4" t="s">
        <v>130</v>
      </c>
    </row>
    <row r="17" customFormat="false" ht="15" hidden="false" customHeight="false" outlineLevel="0" collapsed="false">
      <c r="A17" s="5" t="s">
        <v>134</v>
      </c>
      <c r="B17" s="5" t="s">
        <v>135</v>
      </c>
      <c r="C17" s="4" t="s">
        <v>12</v>
      </c>
      <c r="D17" s="4" t="s">
        <v>15</v>
      </c>
      <c r="E17" s="4" t="s">
        <v>16</v>
      </c>
      <c r="F17" s="4" t="s">
        <v>131</v>
      </c>
    </row>
    <row r="18" customFormat="false" ht="15" hidden="false" customHeight="false" outlineLevel="0" collapsed="false">
      <c r="A18" s="5" t="s">
        <v>134</v>
      </c>
      <c r="B18" s="5" t="s">
        <v>135</v>
      </c>
      <c r="C18" s="4" t="s">
        <v>39</v>
      </c>
      <c r="D18" s="4" t="s">
        <v>42</v>
      </c>
      <c r="E18" s="4" t="s">
        <v>16</v>
      </c>
      <c r="F18" s="4" t="s">
        <v>130</v>
      </c>
    </row>
    <row r="19" customFormat="false" ht="15" hidden="false" customHeight="false" outlineLevel="0" collapsed="false">
      <c r="A19" s="5" t="s">
        <v>134</v>
      </c>
      <c r="B19" s="5" t="s">
        <v>135</v>
      </c>
      <c r="C19" s="4" t="s">
        <v>54</v>
      </c>
      <c r="D19" s="4" t="s">
        <v>33</v>
      </c>
      <c r="E19" s="4" t="s">
        <v>16</v>
      </c>
      <c r="F19" s="4" t="s">
        <v>130</v>
      </c>
    </row>
    <row r="20" customFormat="false" ht="15" hidden="false" customHeight="false" outlineLevel="0" collapsed="false">
      <c r="A20" s="5" t="s">
        <v>134</v>
      </c>
      <c r="B20" s="5" t="s">
        <v>135</v>
      </c>
      <c r="C20" s="4" t="s">
        <v>60</v>
      </c>
      <c r="D20" s="4" t="s">
        <v>25</v>
      </c>
      <c r="E20" s="4" t="s">
        <v>51</v>
      </c>
      <c r="F20" s="4" t="s">
        <v>130</v>
      </c>
    </row>
    <row r="21" customFormat="false" ht="15" hidden="false" customHeight="false" outlineLevel="0" collapsed="false">
      <c r="A21" s="5" t="s">
        <v>134</v>
      </c>
      <c r="B21" s="5" t="s">
        <v>135</v>
      </c>
      <c r="C21" s="4" t="s">
        <v>72</v>
      </c>
      <c r="D21" s="4" t="s">
        <v>50</v>
      </c>
      <c r="E21" s="4" t="s">
        <v>16</v>
      </c>
      <c r="F21" s="4" t="s">
        <v>131</v>
      </c>
    </row>
    <row r="22" customFormat="false" ht="15" hidden="false" customHeight="false" outlineLevel="0" collapsed="false">
      <c r="A22" s="5" t="s">
        <v>134</v>
      </c>
      <c r="B22" s="5" t="s">
        <v>135</v>
      </c>
      <c r="C22" s="4" t="s">
        <v>82</v>
      </c>
      <c r="D22" s="4" t="s">
        <v>85</v>
      </c>
      <c r="E22" s="4" t="s">
        <v>16</v>
      </c>
      <c r="F22" s="4" t="s">
        <v>130</v>
      </c>
    </row>
    <row r="23" customFormat="false" ht="15" hidden="false" customHeight="false" outlineLevel="0" collapsed="false">
      <c r="A23" s="5" t="s">
        <v>134</v>
      </c>
      <c r="B23" s="5" t="s">
        <v>135</v>
      </c>
      <c r="C23" s="4" t="s">
        <v>88</v>
      </c>
      <c r="D23" s="4" t="s">
        <v>42</v>
      </c>
      <c r="E23" s="4" t="s">
        <v>51</v>
      </c>
      <c r="F23" s="4" t="s">
        <v>131</v>
      </c>
    </row>
    <row r="24" customFormat="false" ht="15" hidden="false" customHeight="false" outlineLevel="0" collapsed="false">
      <c r="A24" s="5" t="s">
        <v>134</v>
      </c>
      <c r="B24" s="5" t="s">
        <v>135</v>
      </c>
      <c r="C24" s="4" t="s">
        <v>103</v>
      </c>
      <c r="D24" s="4" t="s">
        <v>33</v>
      </c>
      <c r="E24" s="4" t="s">
        <v>16</v>
      </c>
      <c r="F24" s="4" t="s">
        <v>130</v>
      </c>
    </row>
    <row r="25" customFormat="false" ht="15" hidden="false" customHeight="false" outlineLevel="0" collapsed="false">
      <c r="A25" s="5" t="s">
        <v>128</v>
      </c>
      <c r="B25" s="5" t="s">
        <v>136</v>
      </c>
      <c r="C25" s="4" t="s">
        <v>22</v>
      </c>
      <c r="D25" s="4" t="s">
        <v>25</v>
      </c>
      <c r="E25" s="4" t="s">
        <v>16</v>
      </c>
      <c r="F25" s="4" t="s">
        <v>130</v>
      </c>
    </row>
    <row r="26" customFormat="false" ht="15" hidden="false" customHeight="false" outlineLevel="0" collapsed="false">
      <c r="A26" s="5" t="s">
        <v>128</v>
      </c>
      <c r="B26" s="5" t="s">
        <v>136</v>
      </c>
      <c r="C26" s="4" t="s">
        <v>39</v>
      </c>
      <c r="D26" s="4" t="s">
        <v>42</v>
      </c>
      <c r="E26" s="4" t="s">
        <v>16</v>
      </c>
      <c r="F26" s="4" t="s">
        <v>131</v>
      </c>
    </row>
    <row r="27" customFormat="false" ht="15" hidden="false" customHeight="false" outlineLevel="0" collapsed="false">
      <c r="A27" s="5" t="s">
        <v>128</v>
      </c>
      <c r="B27" s="5" t="s">
        <v>136</v>
      </c>
      <c r="C27" s="4" t="s">
        <v>60</v>
      </c>
      <c r="D27" s="4" t="s">
        <v>25</v>
      </c>
      <c r="E27" s="4" t="s">
        <v>51</v>
      </c>
      <c r="F27" s="4" t="s">
        <v>131</v>
      </c>
    </row>
    <row r="28" customFormat="false" ht="15" hidden="false" customHeight="false" outlineLevel="0" collapsed="false">
      <c r="A28" s="5" t="s">
        <v>128</v>
      </c>
      <c r="B28" s="5" t="s">
        <v>136</v>
      </c>
      <c r="C28" s="4" t="s">
        <v>66</v>
      </c>
      <c r="D28" s="4" t="s">
        <v>15</v>
      </c>
      <c r="E28" s="4" t="s">
        <v>16</v>
      </c>
      <c r="F28" s="4" t="s">
        <v>131</v>
      </c>
    </row>
    <row r="29" customFormat="false" ht="15" hidden="false" customHeight="false" outlineLevel="0" collapsed="false">
      <c r="A29" s="5" t="s">
        <v>128</v>
      </c>
      <c r="B29" s="5" t="s">
        <v>136</v>
      </c>
      <c r="C29" s="4" t="s">
        <v>78</v>
      </c>
      <c r="D29" s="4" t="s">
        <v>33</v>
      </c>
      <c r="E29" s="4" t="s">
        <v>34</v>
      </c>
      <c r="F29" s="4" t="s">
        <v>130</v>
      </c>
    </row>
    <row r="30" customFormat="false" ht="15" hidden="false" customHeight="false" outlineLevel="0" collapsed="false">
      <c r="A30" s="5" t="s">
        <v>128</v>
      </c>
      <c r="B30" s="5" t="s">
        <v>136</v>
      </c>
      <c r="C30" s="4" t="s">
        <v>82</v>
      </c>
      <c r="D30" s="4" t="s">
        <v>85</v>
      </c>
      <c r="E30" s="4" t="s">
        <v>16</v>
      </c>
      <c r="F30" s="4" t="s">
        <v>131</v>
      </c>
    </row>
    <row r="31" customFormat="false" ht="15" hidden="false" customHeight="false" outlineLevel="0" collapsed="false">
      <c r="A31" s="5" t="s">
        <v>128</v>
      </c>
      <c r="B31" s="5" t="s">
        <v>136</v>
      </c>
      <c r="C31" s="4" t="s">
        <v>93</v>
      </c>
      <c r="D31" s="4" t="s">
        <v>42</v>
      </c>
      <c r="E31" s="4" t="s">
        <v>34</v>
      </c>
      <c r="F31" s="4" t="s">
        <v>130</v>
      </c>
    </row>
    <row r="33" customFormat="false" ht="15" hidden="false" customHeight="false" outlineLevel="0" collapsed="false">
      <c r="A33" s="9" t="s">
        <v>137</v>
      </c>
      <c r="C33" s="9" t="n">
        <f aca="false">COUNTA(C4:C31)</f>
        <v>28</v>
      </c>
    </row>
    <row r="34" customFormat="false" ht="15" hidden="false" customHeight="false" outlineLevel="0" collapsed="false">
      <c r="A34" s="9" t="s">
        <v>138</v>
      </c>
      <c r="C34" s="9" t="n">
        <f aca="false">COUNTIF(F4:F31,"Sí")</f>
        <v>16</v>
      </c>
    </row>
    <row r="35" customFormat="false" ht="15" hidden="false" customHeight="false" outlineLevel="0" collapsed="false">
      <c r="A35" s="9" t="s">
        <v>139</v>
      </c>
      <c r="C35" s="13" t="n">
        <f aca="false">(COUNTA(C4:C31)-COUNTIF(F4:F31,"Sí"))/COUNTA(C4:C31)</f>
        <v>0.428571428571429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88"/>
  </cols>
  <sheetData>
    <row r="1" customFormat="false" ht="16.15" hidden="false" customHeight="false" outlineLevel="0" collapsed="false">
      <c r="A1" s="1" t="s">
        <v>140</v>
      </c>
    </row>
    <row r="3" customFormat="false" ht="15" hidden="false" customHeight="false" outlineLevel="0" collapsed="false">
      <c r="A3" s="3" t="s">
        <v>141</v>
      </c>
      <c r="B3" s="3" t="s">
        <v>142</v>
      </c>
      <c r="C3" s="3" t="s">
        <v>143</v>
      </c>
    </row>
    <row r="4" customFormat="false" ht="15" hidden="false" customHeight="false" outlineLevel="0" collapsed="false">
      <c r="A4" s="5" t="s">
        <v>5</v>
      </c>
      <c r="B4" s="5" t="s">
        <v>15</v>
      </c>
      <c r="C4" s="5" t="s">
        <v>144</v>
      </c>
    </row>
    <row r="5" customFormat="false" ht="15" hidden="false" customHeight="false" outlineLevel="0" collapsed="false">
      <c r="A5" s="5" t="s">
        <v>5</v>
      </c>
      <c r="B5" s="5" t="s">
        <v>33</v>
      </c>
      <c r="C5" s="5" t="s">
        <v>145</v>
      </c>
    </row>
    <row r="6" customFormat="false" ht="15" hidden="false" customHeight="false" outlineLevel="0" collapsed="false">
      <c r="A6" s="5" t="s">
        <v>5</v>
      </c>
      <c r="B6" s="5" t="s">
        <v>25</v>
      </c>
      <c r="C6" s="5" t="s">
        <v>146</v>
      </c>
    </row>
    <row r="7" customFormat="false" ht="15" hidden="false" customHeight="false" outlineLevel="0" collapsed="false">
      <c r="A7" s="5" t="s">
        <v>5</v>
      </c>
      <c r="B7" s="5" t="s">
        <v>42</v>
      </c>
      <c r="C7" s="5" t="s">
        <v>147</v>
      </c>
    </row>
    <row r="8" customFormat="false" ht="15" hidden="false" customHeight="false" outlineLevel="0" collapsed="false">
      <c r="A8" s="5" t="s">
        <v>5</v>
      </c>
      <c r="B8" s="5" t="s">
        <v>50</v>
      </c>
      <c r="C8" s="5" t="s">
        <v>148</v>
      </c>
    </row>
    <row r="9" customFormat="false" ht="15" hidden="false" customHeight="false" outlineLevel="0" collapsed="false">
      <c r="A9" s="5" t="s">
        <v>5</v>
      </c>
      <c r="B9" s="5" t="s">
        <v>85</v>
      </c>
      <c r="C9" s="5" t="s">
        <v>149</v>
      </c>
    </row>
    <row r="10" customFormat="false" ht="15" hidden="false" customHeight="false" outlineLevel="0" collapsed="false">
      <c r="A10" s="5" t="s">
        <v>6</v>
      </c>
      <c r="B10" s="5" t="s">
        <v>51</v>
      </c>
      <c r="C10" s="5" t="s">
        <v>150</v>
      </c>
    </row>
    <row r="11" customFormat="false" ht="15" hidden="false" customHeight="false" outlineLevel="0" collapsed="false">
      <c r="A11" s="5" t="s">
        <v>6</v>
      </c>
      <c r="B11" s="5" t="s">
        <v>16</v>
      </c>
      <c r="C11" s="5" t="s">
        <v>151</v>
      </c>
    </row>
    <row r="12" customFormat="false" ht="15" hidden="false" customHeight="false" outlineLevel="0" collapsed="false">
      <c r="A12" s="5" t="s">
        <v>6</v>
      </c>
      <c r="B12" s="5" t="s">
        <v>34</v>
      </c>
      <c r="C12" s="5" t="s">
        <v>152</v>
      </c>
    </row>
    <row r="13" customFormat="false" ht="15" hidden="false" customHeight="false" outlineLevel="0" collapsed="false">
      <c r="A13" s="5" t="s">
        <v>11</v>
      </c>
      <c r="B13" s="5" t="s">
        <v>21</v>
      </c>
      <c r="C13" s="5" t="s">
        <v>153</v>
      </c>
    </row>
    <row r="14" customFormat="false" ht="15" hidden="false" customHeight="false" outlineLevel="0" collapsed="false">
      <c r="A14" s="5" t="s">
        <v>11</v>
      </c>
      <c r="B14" s="5" t="s">
        <v>38</v>
      </c>
      <c r="C14" s="5" t="s">
        <v>154</v>
      </c>
    </row>
    <row r="17" customFormat="false" ht="15" hidden="false" customHeight="false" outlineLevel="0" collapsed="false">
      <c r="A17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2026-08-06T02:59:46Z</dcterms:created>
  <dc:creator>openpyxl</dc:creator>
  <dc:description/>
  <dc:language>en-US</dc:language>
  <cp:lastModifiedBy/>
  <dcterms:modified xsi:type="dcterms:W3CDTF">2026-08-06T02:59:46Z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