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Defectos" sheetId="2" state="visible" r:id="rId4"/>
    <sheet name="Por_tipo" sheetId="3" state="visible" r:id="rId5"/>
    <sheet name="Por_severidad" sheetId="4" state="visible" r:id="rId6"/>
    <sheet name="Por_inspector" sheetId="5" state="visible" r:id="rId7"/>
    <sheet name="Esfuerzo" sheetId="6" state="visible" r:id="rId8"/>
    <sheet name="Resumen_metricas" sheetId="7" state="visible" r:id="rId9"/>
    <sheet name="Volatilida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<sst xmlns="http://schemas.openxmlformats.org/spreadsheetml/2006/main" count="233" uniqueCount="178">
  <si>
    <t xml:space="preserve">Métricas de la inspección Fagan — Parámetros de la sesión</t>
  </si>
  <si>
    <t xml:space="preserve">PE4 Unidad IV · ISR-401 · Sistema SIMPA · ERS v3.0 (Entrega 2A) · Equipo EHQ</t>
  </si>
  <si>
    <t xml:space="preserve">Parámetro</t>
  </si>
  <si>
    <t xml:space="preserve">Valor</t>
  </si>
  <si>
    <t xml:space="preserve">Origen / observación</t>
  </si>
  <si>
    <t xml:space="preserve">Documento inspeccionado</t>
  </si>
  <si>
    <t xml:space="preserve">ERS SIMPA v3.0</t>
  </si>
  <si>
    <t xml:space="preserve">Entrega 2A del PFC</t>
  </si>
  <si>
    <t xml:space="preserve">Alcance</t>
  </si>
  <si>
    <t xml:space="preserve">§2, §3 y §4.1–4.2</t>
  </si>
  <si>
    <t xml:space="preserve">Descripción general, requisitos específicos y casos de uso</t>
  </si>
  <si>
    <t xml:space="preserve">Páginas efectivas inspeccionadas</t>
  </si>
  <si>
    <t xml:space="preserve">Páginas 12 a 51 del ERS base</t>
  </si>
  <si>
    <t xml:space="preserve">Fecha de la inspección</t>
  </si>
  <si>
    <t xml:space="preserve">04/08/2026</t>
  </si>
  <si>
    <t xml:space="preserve">Reunión 10:00–11:25</t>
  </si>
  <si>
    <t xml:space="preserve">Duración de la reunión (minutos)</t>
  </si>
  <si>
    <t xml:space="preserve">Máximo permitido por la guía: 90</t>
  </si>
  <si>
    <t xml:space="preserve">Número de inspectores (roles)</t>
  </si>
  <si>
    <t xml:space="preserve">Moderadora, Lectora, Inspector 1, Inspector 2 (rotativo)</t>
  </si>
  <si>
    <t xml:space="preserve">Integrantes del equipo</t>
  </si>
  <si>
    <t xml:space="preserve">El cuarto rol es rotativo (criterio A3)</t>
  </si>
  <si>
    <t xml:space="preserve">Reportes individuales de preparación</t>
  </si>
  <si>
    <t xml:space="preserve">Suma de las cuatro copias del Anexo A</t>
  </si>
  <si>
    <t xml:space="preserve">Defectos únicos consolidados</t>
  </si>
  <si>
    <t xml:space="preserve">Anexo B — registro consolidado</t>
  </si>
  <si>
    <t xml:space="preserve">Las celdas en amarillo de las demás hojas son entradas editables; el resto son fórmulas.</t>
  </si>
  <si>
    <t xml:space="preserve">Base de cálculo — 16 defectos consolidados</t>
  </si>
  <si>
    <t xml:space="preserve">Defecto</t>
  </si>
  <si>
    <t xml:space="preserve">Tipo</t>
  </si>
  <si>
    <t xml:space="preserve">Severidad</t>
  </si>
  <si>
    <t xml:space="preserve">Requisito afectado</t>
  </si>
  <si>
    <t xml:space="preserve">Estado</t>
  </si>
  <si>
    <t xml:space="preserve">D-01</t>
  </si>
  <si>
    <t xml:space="preserve">Ambigüedad</t>
  </si>
  <si>
    <t xml:space="preserve">Mayor</t>
  </si>
  <si>
    <t xml:space="preserve">RF-23</t>
  </si>
  <si>
    <t xml:space="preserve">Corregido en v3.1</t>
  </si>
  <si>
    <t xml:space="preserve">D-02</t>
  </si>
  <si>
    <t xml:space="preserve">Consistencia</t>
  </si>
  <si>
    <t xml:space="preserve">RF-27, RF-38</t>
  </si>
  <si>
    <t xml:space="preserve">D-03</t>
  </si>
  <si>
    <t xml:space="preserve">Completitud</t>
  </si>
  <si>
    <t xml:space="preserve">Menor</t>
  </si>
  <si>
    <t xml:space="preserve">RNF-08</t>
  </si>
  <si>
    <t xml:space="preserve">Diferido a Entrega 4</t>
  </si>
  <si>
    <t xml:space="preserve">D-04</t>
  </si>
  <si>
    <t xml:space="preserve">Verificabilidad</t>
  </si>
  <si>
    <t xml:space="preserve">RF-08</t>
  </si>
  <si>
    <t xml:space="preserve">D-05</t>
  </si>
  <si>
    <t xml:space="preserve">Trazabilidad</t>
  </si>
  <si>
    <t xml:space="preserve">Crítico</t>
  </si>
  <si>
    <t xml:space="preserve">RF-11, RF-23, RF-25, RF-32, RF-33, RF-34</t>
  </si>
  <si>
    <t xml:space="preserve">D-06</t>
  </si>
  <si>
    <t xml:space="preserve">RF-01</t>
  </si>
  <si>
    <t xml:space="preserve">D-07</t>
  </si>
  <si>
    <t xml:space="preserve">RD-02, RD-05</t>
  </si>
  <si>
    <t xml:space="preserve">D-08</t>
  </si>
  <si>
    <t xml:space="preserve">RF-15, RL-03</t>
  </si>
  <si>
    <t xml:space="preserve">D-09</t>
  </si>
  <si>
    <t xml:space="preserve">CU-06</t>
  </si>
  <si>
    <t xml:space="preserve">D-10</t>
  </si>
  <si>
    <t xml:space="preserve">RF-36</t>
  </si>
  <si>
    <t xml:space="preserve">D-11</t>
  </si>
  <si>
    <t xml:space="preserve">Factibilidad</t>
  </si>
  <si>
    <t xml:space="preserve">RF-10, RF-21</t>
  </si>
  <si>
    <t xml:space="preserve">D-12</t>
  </si>
  <si>
    <t xml:space="preserve">RNF-11, RF-28</t>
  </si>
  <si>
    <t xml:space="preserve">D-13</t>
  </si>
  <si>
    <t xml:space="preserve">RF-32</t>
  </si>
  <si>
    <t xml:space="preserve">D-14</t>
  </si>
  <si>
    <t xml:space="preserve">Tabla 51 (RL)</t>
  </si>
  <si>
    <t xml:space="preserve">D-15</t>
  </si>
  <si>
    <t xml:space="preserve">RF-14</t>
  </si>
  <si>
    <t xml:space="preserve">D-16</t>
  </si>
  <si>
    <t xml:space="preserve">L-09</t>
  </si>
  <si>
    <t xml:space="preserve">Fuente: Anexo B (AnexoB_registro_defectos.xlsx). Esta hoja alimenta todas las métricas del libro.</t>
  </si>
  <si>
    <t xml:space="preserve">Distribución de defectos por tipo (ISO/IEC/IEEE 29148:2018, §6.4)</t>
  </si>
  <si>
    <t xml:space="preserve">Tipo de defecto</t>
  </si>
  <si>
    <t xml:space="preserve">N.º de defectos</t>
  </si>
  <si>
    <t xml:space="preserve">% del total</t>
  </si>
  <si>
    <t xml:space="preserve">Total</t>
  </si>
  <si>
    <t xml:space="preserve">Interpretación: el tipo dominante es Completitud (omisiones puntuales de caso borde: batería, tarifas traslapadas, perfiles sensoriales), no errores estructurales del documento.</t>
  </si>
  <si>
    <t xml:space="preserve">Distribución de defectos por severidad</t>
  </si>
  <si>
    <t xml:space="preserve">Criterio de corrección</t>
  </si>
  <si>
    <t xml:space="preserve">Corrección obligatoria antes de la línea base</t>
  </si>
  <si>
    <t xml:space="preserve">Diferimiento admitido con justificación escrita</t>
  </si>
  <si>
    <t xml:space="preserve">Interpretación: los tres defectos críticos comparten un patrón —relaciones no resueltas entre requisitos (RD–RD, RNF–RF)— y no errores locales de redacción.</t>
  </si>
  <si>
    <t xml:space="preserve">Tasa de detección por inspector</t>
  </si>
  <si>
    <t xml:space="preserve">Inspector</t>
  </si>
  <si>
    <t xml:space="preserve">Rol</t>
  </si>
  <si>
    <t xml:space="preserve">Horas de preparación individual</t>
  </si>
  <si>
    <t xml:space="preserve">Defectos reportados en preparación</t>
  </si>
  <si>
    <t xml:space="preserve">Hallazgos únicos aportados</t>
  </si>
  <si>
    <t xml:space="preserve">Tasa de detección (def./hora)</t>
  </si>
  <si>
    <t xml:space="preserve">% de aporte al registro consolidado</t>
  </si>
  <si>
    <t xml:space="preserve">Escudero Plaza María del Rosario</t>
  </si>
  <si>
    <t xml:space="preserve">Moderadora</t>
  </si>
  <si>
    <t xml:space="preserve">Huilcapi León Denisses Fabiola</t>
  </si>
  <si>
    <t xml:space="preserve">Lectora</t>
  </si>
  <si>
    <t xml:space="preserve">Quintero Gende Erick Jahir</t>
  </si>
  <si>
    <t xml:space="preserve">Inspector 1</t>
  </si>
  <si>
    <t xml:space="preserve">Inspector 2 (rotativo)</t>
  </si>
  <si>
    <t xml:space="preserve">Totales</t>
  </si>
  <si>
    <t xml:space="preserve">Interpretación: los cuatro roles superan el mínimo de 6 defectos exigido en preparación. La mayor tasa de detección del Inspector 2 se explica por la familiaridad previa con el documento (segunda pasada de la misma integrante), no por mayor cobertura; su aporte único es, de hecho, el más bajo junto con el de la Lectora.</t>
  </si>
  <si>
    <t xml:space="preserve">Celdas amarillas: horas y conteos tomados de las copias firmadas del Anexo A (AnexoA_checklists.pdf).</t>
  </si>
  <si>
    <t xml:space="preserve">Esfuerzo total de la inspección (horas-persona)</t>
  </si>
  <si>
    <t xml:space="preserve">Actividad</t>
  </si>
  <si>
    <t xml:space="preserve">Participantes</t>
  </si>
  <si>
    <t xml:space="preserve">Horas por participante</t>
  </si>
  <si>
    <t xml:space="preserve">Horas-persona</t>
  </si>
  <si>
    <t xml:space="preserve">Observación</t>
  </si>
  <si>
    <t xml:space="preserve">Planificación (asignación de roles y alcance)</t>
  </si>
  <si>
    <t xml:space="preserve">Ejecutada por la Moderadora</t>
  </si>
  <si>
    <t xml:space="preserve">Preparación individual — Moderadora</t>
  </si>
  <si>
    <t xml:space="preserve">Copia A.1 del Anexo A</t>
  </si>
  <si>
    <t xml:space="preserve">Preparación individual — Lectora</t>
  </si>
  <si>
    <t xml:space="preserve">Copia A.2 del Anexo A</t>
  </si>
  <si>
    <t xml:space="preserve">Preparación individual — Inspector 1</t>
  </si>
  <si>
    <t xml:space="preserve">Copia A.3 del Anexo A</t>
  </si>
  <si>
    <t xml:space="preserve">Preparación individual — Inspector 2 (rotativo)</t>
  </si>
  <si>
    <t xml:space="preserve">Copia A.4 del Anexo A</t>
  </si>
  <si>
    <t xml:space="preserve">Reunión de inspección (85 min)</t>
  </si>
  <si>
    <t xml:space="preserve">Asisten los tres integrantes; duración tomada de Parametros!B9 (85 min)</t>
  </si>
  <si>
    <t xml:space="preserve">Consolidación del registro y eliminación de duplicados</t>
  </si>
  <si>
    <t xml:space="preserve">Esfuerzo total</t>
  </si>
  <si>
    <t xml:space="preserve">Costo por defecto único detectado (horas-persona)</t>
  </si>
  <si>
    <t xml:space="preserve">Costo estimado de las RFC generadas (RFC-01 + RFC-02, horas-persona)</t>
  </si>
  <si>
    <t xml:space="preserve">Relación esfuerzo evitado / esfuerzo invertido</t>
  </si>
  <si>
    <t xml:space="preserve">Interpretación: 10,5 horas-persona de inspección frente a 42 horas-persona de retrabajo canalizadas por las tres RFC (21 + 13 + 8): aproximadamente cuatro horas de retrabajo posterior por cada hora de inspección invertida.</t>
  </si>
  <si>
    <t xml:space="preserve">Resumen de métricas de inspección e interpretación</t>
  </si>
  <si>
    <t xml:space="preserve">Métrica</t>
  </si>
  <si>
    <t xml:space="preserve">Fórmula aplicada</t>
  </si>
  <si>
    <t xml:space="preserve">Interpretación (qué dice del ERS)</t>
  </si>
  <si>
    <t xml:space="preserve">Densidad de defectos</t>
  </si>
  <si>
    <t xml:space="preserve">Defectos únicos / páginas efectivas</t>
  </si>
  <si>
    <t xml:space="preserve">0,40 def./pág.: densidad moderada-alta para un documento en su tercera entrega; la revisión docente previa no agotó los defectos de fondo, sobre todo los de consistencia entre restricciones.</t>
  </si>
  <si>
    <t xml:space="preserve">Tipo dominante</t>
  </si>
  <si>
    <t xml:space="preserve">Máximo de la distribución por tipo</t>
  </si>
  <si>
    <t xml:space="preserve">Completitud (4 de 16): predominan omisiones de caso borde y no errores estructurales del documento.</t>
  </si>
  <si>
    <t xml:space="preserve">Proporción de defectos críticos</t>
  </si>
  <si>
    <t xml:space="preserve">Críticos / total</t>
  </si>
  <si>
    <t xml:space="preserve">18,8 %: los tres críticos son relaciones no resueltas entre requisitos ya aprobados (RD–RD, RNF–RF).</t>
  </si>
  <si>
    <t xml:space="preserve">Proporción de críticos y mayores</t>
  </si>
  <si>
    <t xml:space="preserve">(Críticos + mayores) / total</t>
  </si>
  <si>
    <t xml:space="preserve">68,8 %: la mayoría de los hallazgos exigía corrección antes de publicar la línea base.</t>
  </si>
  <si>
    <t xml:space="preserve">Redundancia entre inspectores</t>
  </si>
  <si>
    <t xml:space="preserve">(Reportes individuales − únicos) / reportes individuales</t>
  </si>
  <si>
    <t xml:space="preserve">42,9 % de solapamiento: cobertura adecuada del alcance sin una redundancia que sugiera falta de independencia entre inspectores.</t>
  </si>
  <si>
    <t xml:space="preserve">Suma de horas-persona</t>
  </si>
  <si>
    <t xml:space="preserve">10,5 horas-persona: costo contenido frente al retrabajo evitado en la Entrega 4.</t>
  </si>
  <si>
    <t xml:space="preserve">Costo por defecto detectado</t>
  </si>
  <si>
    <t xml:space="preserve">Esfuerzo total / defectos únicos</t>
  </si>
  <si>
    <t xml:space="preserve">0,66 horas-persona por defecto: la inspección formal resulta rentable en documentos de este tamaño.</t>
  </si>
  <si>
    <t xml:space="preserve">Tasa de corrección de críticos y mayores</t>
  </si>
  <si>
    <t xml:space="preserve">Corregidos / (críticos + mayores)</t>
  </si>
  <si>
    <t xml:space="preserve">100 %: se cumple la exigencia de la guía; los cinco menores quedan diferidos con justificación escrita.</t>
  </si>
  <si>
    <t xml:space="preserve">Tasa de corrección global</t>
  </si>
  <si>
    <t xml:space="preserve">Corregidos / total de defectos</t>
  </si>
  <si>
    <t xml:space="preserve">68,8 %: el 31,2 % restante corresponde a defectos menores que requieren decisión de negocio.</t>
  </si>
  <si>
    <t xml:space="preserve">Todas las celdas de la columna Valor son fórmulas encadenadas a las hojas Defectos, Por_tipo, Por_severidad y Esfuerzo: al editar el registro base, las métricas y sus porcentajes se recalculan.</t>
  </si>
  <si>
    <t xml:space="preserve">Volatilidad de requisitos tras la inspección y el CCB (v3.0 → v3.1)</t>
  </si>
  <si>
    <t xml:space="preserve">Concepto</t>
  </si>
  <si>
    <t xml:space="preserve">Cantidad</t>
  </si>
  <si>
    <t xml:space="preserve">Detalle</t>
  </si>
  <si>
    <t xml:space="preserve">Requisitos vigentes en el ERS v3.0 (base)</t>
  </si>
  <si>
    <t xml:space="preserve">39 RF + 18 RNF + 10 RD + 8 RL (conteo del ERS v3.0; ajustar si cambia el documento base)</t>
  </si>
  <si>
    <t xml:space="preserve">Requisitos añadidos</t>
  </si>
  <si>
    <t xml:space="preserve">RF-40 (RFC-01, modo degradado) y RD-11 (RFC-03, purga de geolocalización)</t>
  </si>
  <si>
    <t xml:space="preserve">Requisitos modificados</t>
  </si>
  <si>
    <t xml:space="preserve">RF-01, RF-08, RF-14, RF-23, RF-27, RD-05, RL-03 y RNF-11</t>
  </si>
  <si>
    <t xml:space="preserve">Requisitos eliminados</t>
  </si>
  <si>
    <t xml:space="preserve">Ninguno</t>
  </si>
  <si>
    <t xml:space="preserve">Volatilidad del período (añadidos + modificados + eliminados) / vigentes</t>
  </si>
  <si>
    <t xml:space="preserve">Volatilidad atribuible solo a las RFC del CCB</t>
  </si>
  <si>
    <t xml:space="preserve">RF-40 y RD-11 añadidos; RD-05 y RNF-11 modificados por RFC-01 y RFC-02</t>
  </si>
  <si>
    <t xml:space="preserve">Requisitos vigentes en el ERS v3.1</t>
  </si>
  <si>
    <t xml:space="preserve">Interpretación: una volatilidad cercana al 13 % en un solo ciclo de validación es alta en términos absolutos, pero se explica por la naturaleza del período (primera inspección formal del documento) y no por inestabilidad del alcance: ninguna modificación proviene de un cambio de necesidad del cliente y solo el 5,3 % corresponde a RFC tramitadas ante el CCB.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</si>
</sst>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0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Defectos por tipo (n = 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Por_tipo!B3</c:f>
              <c:strCache>
                <c:ptCount val="1"/>
                <c:pt idx="0">
                  <c:v>N.º de defectos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Por_tipo!$A$4:$A$9</c:f>
              <c:strCache>
                <c:ptCount val="6"/>
                <c:pt idx="0">
                  <c:v>Ambigüedad</c:v>
                </c:pt>
                <c:pt idx="1">
                  <c:v>Completitud</c:v>
                </c:pt>
                <c:pt idx="2">
                  <c:v>Consistencia</c:v>
                </c:pt>
                <c:pt idx="3">
                  <c:v>Verificabilidad</c:v>
                </c:pt>
                <c:pt idx="4">
                  <c:v>Trazabilidad</c:v>
                </c:pt>
                <c:pt idx="5">
                  <c:v>Factibilidad</c:v>
                </c:pt>
              </c:strCache>
            </c:strRef>
          </c:cat>
          <c:val>
            <c:numRef>
              <c:f>Por_tipo!$B$4:$B$9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68366580"/>
        <c:axId val="81995365"/>
      </c:barChart>
      <c:catAx>
        <c:axId val="683665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95365"/>
        <c:crosses val="autoZero"/>
        <c:auto val="1"/>
        <c:lblAlgn val="ctr"/>
        <c:lblOffset val="100"/>
        <c:noMultiLvlLbl val="0"/>
      </c:catAx>
      <c:valAx>
        <c:axId val="81995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N.º de 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665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Defectos por severidad (n = 16)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Por_severidad!B3</c:f>
              <c:strCache>
                <c:ptCount val="1"/>
                <c:pt idx="0">
                  <c:v>N.º de defectos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Por_severidad!$A$4:$A$6</c:f>
              <c:strCache>
                <c:ptCount val="3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Por_severidad!$B$4:$B$6</c:f>
              <c:numCache>
                <c:formatCode>General</c:formatCode>
                <c:ptCount val="3"/>
                <c:pt idx="0">
                  <c:v>3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Preparación individual frente a aporte único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Por_inspector!D3</c:f>
              <c:strCache>
                <c:ptCount val="1"/>
                <c:pt idx="0">
                  <c:v>Defectos reportados en preparación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Por_inspector!$B$4:$B$7</c:f>
              <c:strCache>
                <c:ptCount val="4"/>
                <c:pt idx="0">
                  <c:v>Moderadora</c:v>
                </c:pt>
                <c:pt idx="1">
                  <c:v>Lectora</c:v>
                </c:pt>
                <c:pt idx="2">
                  <c:v>Inspector 1</c:v>
                </c:pt>
                <c:pt idx="3">
                  <c:v>Inspector 2 (rotativo)</c:v>
                </c:pt>
              </c:strCache>
            </c:strRef>
          </c:cat>
          <c:val>
            <c:numRef>
              <c:f>Por_inspector!$D$4:$D$7</c:f>
              <c:numCache>
                <c:formatCode>0</c:formatCode>
                <c:ptCount val="4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Por_inspector!E3</c:f>
              <c:strCache>
                <c:ptCount val="1"/>
                <c:pt idx="0">
                  <c:v>Hallazgos únicos aportados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Por_inspector!$B$4:$B$7</c:f>
              <c:strCache>
                <c:ptCount val="4"/>
                <c:pt idx="0">
                  <c:v>Moderadora</c:v>
                </c:pt>
                <c:pt idx="1">
                  <c:v>Lectora</c:v>
                </c:pt>
                <c:pt idx="2">
                  <c:v>Inspector 1</c:v>
                </c:pt>
                <c:pt idx="3">
                  <c:v>Inspector 2 (rotativo)</c:v>
                </c:pt>
              </c:strCache>
            </c:strRef>
          </c:cat>
          <c:val>
            <c:numRef>
              <c:f>Por_inspector!$E$4:$E$7</c:f>
              <c:numCache>
                <c:formatCode>0</c:formatCode>
                <c:ptCount val="4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29862376"/>
        <c:axId val="64466622"/>
      </c:barChart>
      <c:catAx>
        <c:axId val="29862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66622"/>
        <c:crosses val="autoZero"/>
        <c:auto val="1"/>
        <c:lblAlgn val="ctr"/>
        <c:lblOffset val="100"/>
        <c:noMultiLvlLbl val="0"/>
      </c:catAx>
      <c:valAx>
        <c:axId val="64466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N.º de 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623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175680</xdr:rowOff>
    </xdr:from>
    <xdr:to>
      <xdr:col>12</xdr:col>
      <xdr:colOff>507240</xdr:colOff>
      <xdr:row>17</xdr:row>
      <xdr:rowOff>7200</xdr:rowOff>
    </xdr:to>
    <xdr:graphicFrame>
      <xdr:nvGraphicFramePr>
        <xdr:cNvPr id="0" name="Chart 1"/>
        <xdr:cNvGraphicFramePr/>
      </xdr:nvGraphicFramePr>
      <xdr:xfrm>
        <a:off x="4558680" y="37584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12</xdr:col>
      <xdr:colOff>38880</xdr:colOff>
      <xdr:row>17</xdr:row>
      <xdr:rowOff>7200</xdr:rowOff>
    </xdr:to>
    <xdr:graphicFrame>
      <xdr:nvGraphicFramePr>
        <xdr:cNvPr id="1" name="Chart 1"/>
        <xdr:cNvGraphicFramePr/>
      </xdr:nvGraphicFramePr>
      <xdr:xfrm>
        <a:off x="7660080" y="37584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111600</xdr:rowOff>
    </xdr:from>
    <xdr:to>
      <xdr:col>3</xdr:col>
      <xdr:colOff>825480</xdr:colOff>
      <xdr:row>25</xdr:row>
      <xdr:rowOff>133560</xdr:rowOff>
    </xdr:to>
    <xdr:graphicFrame>
      <xdr:nvGraphicFramePr>
        <xdr:cNvPr id="2" name="Chart 1"/>
        <xdr:cNvGraphicFramePr/>
      </xdr:nvGraphicFramePr>
      <xdr:xfrm>
        <a:off x="0" y="2273760"/>
        <a:ext cx="57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6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s">
        <v>6</v>
      </c>
      <c r="C5" s="7" t="s">
        <v>7</v>
      </c>
    </row>
    <row r="6" customFormat="false" ht="15" hidden="false" customHeight="true" outlineLevel="0" collapsed="false">
      <c r="A6" s="5" t="s">
        <v>8</v>
      </c>
      <c r="B6" s="6" t="s">
        <v>9</v>
      </c>
      <c r="C6" s="7" t="s">
        <v>10</v>
      </c>
    </row>
    <row r="7" customFormat="false" ht="15" hidden="false" customHeight="true" outlineLevel="0" collapsed="false">
      <c r="A7" s="5" t="s">
        <v>11</v>
      </c>
      <c r="B7" s="6" t="n">
        <v>40</v>
      </c>
      <c r="C7" s="7" t="s">
        <v>12</v>
      </c>
    </row>
    <row r="8" customFormat="false" ht="15" hidden="false" customHeight="true" outlineLevel="0" collapsed="false">
      <c r="A8" s="5" t="s">
        <v>13</v>
      </c>
      <c r="B8" s="6" t="s">
        <v>14</v>
      </c>
      <c r="C8" s="7" t="s">
        <v>15</v>
      </c>
    </row>
    <row r="9" customFormat="false" ht="15" hidden="false" customHeight="true" outlineLevel="0" collapsed="false">
      <c r="A9" s="5" t="s">
        <v>16</v>
      </c>
      <c r="B9" s="6" t="n">
        <v>85</v>
      </c>
      <c r="C9" s="7" t="s">
        <v>17</v>
      </c>
    </row>
    <row r="10" customFormat="false" ht="15" hidden="false" customHeight="true" outlineLevel="0" collapsed="false">
      <c r="A10" s="5" t="s">
        <v>18</v>
      </c>
      <c r="B10" s="6" t="n">
        <v>4</v>
      </c>
      <c r="C10" s="7" t="s">
        <v>19</v>
      </c>
    </row>
    <row r="11" customFormat="false" ht="15" hidden="false" customHeight="true" outlineLevel="0" collapsed="false">
      <c r="A11" s="5" t="s">
        <v>20</v>
      </c>
      <c r="B11" s="6" t="n">
        <v>3</v>
      </c>
      <c r="C11" s="7" t="s">
        <v>21</v>
      </c>
    </row>
    <row r="12" customFormat="false" ht="15" hidden="false" customHeight="true" outlineLevel="0" collapsed="false">
      <c r="A12" s="5" t="s">
        <v>22</v>
      </c>
      <c r="B12" s="6" t="n">
        <v>28</v>
      </c>
      <c r="C12" s="7" t="s">
        <v>23</v>
      </c>
    </row>
    <row r="13" customFormat="false" ht="15" hidden="false" customHeight="true" outlineLevel="0" collapsed="false">
      <c r="A13" s="5" t="s">
        <v>24</v>
      </c>
      <c r="B13" s="6" t="n">
        <v>16</v>
      </c>
      <c r="C13" s="7" t="s">
        <v>25</v>
      </c>
    </row>
    <row r="15" customFormat="false" ht="15" hidden="false" customHeight="true" outlineLevel="0" collapsed="false">
      <c r="A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22"/>
  </cols>
  <sheetData>
    <row r="1" customFormat="false" ht="15.75" hidden="false" customHeight="true" outlineLevel="0" collapsed="false">
      <c r="A1" s="2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</row>
    <row r="4" customFormat="false" ht="15" hidden="false" customHeight="true" outlineLevel="0" collapsed="false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</row>
    <row r="5" customFormat="false" ht="15" hidden="false" customHeight="true" outlineLevel="0" collapsed="false">
      <c r="A5" s="6" t="s">
        <v>38</v>
      </c>
      <c r="B5" s="6" t="s">
        <v>39</v>
      </c>
      <c r="C5" s="6" t="s">
        <v>35</v>
      </c>
      <c r="D5" s="6" t="s">
        <v>40</v>
      </c>
      <c r="E5" s="6" t="s">
        <v>37</v>
      </c>
    </row>
    <row r="6" customFormat="false" ht="15" hidden="false" customHeight="true" outlineLevel="0" collapsed="false">
      <c r="A6" s="6" t="s">
        <v>41</v>
      </c>
      <c r="B6" s="6" t="s">
        <v>42</v>
      </c>
      <c r="C6" s="6" t="s">
        <v>43</v>
      </c>
      <c r="D6" s="6" t="s">
        <v>44</v>
      </c>
      <c r="E6" s="6" t="s">
        <v>45</v>
      </c>
    </row>
    <row r="7" customFormat="false" ht="15" hidden="false" customHeight="true" outlineLevel="0" collapsed="false">
      <c r="A7" s="6" t="s">
        <v>46</v>
      </c>
      <c r="B7" s="6" t="s">
        <v>47</v>
      </c>
      <c r="C7" s="6" t="s">
        <v>35</v>
      </c>
      <c r="D7" s="6" t="s">
        <v>48</v>
      </c>
      <c r="E7" s="6" t="s">
        <v>37</v>
      </c>
    </row>
    <row r="8" customFormat="false" ht="15" hidden="false" customHeight="true" outlineLevel="0" collapsed="false">
      <c r="A8" s="6" t="s">
        <v>49</v>
      </c>
      <c r="B8" s="6" t="s">
        <v>50</v>
      </c>
      <c r="C8" s="6" t="s">
        <v>51</v>
      </c>
      <c r="D8" s="7" t="s">
        <v>52</v>
      </c>
      <c r="E8" s="6" t="s">
        <v>37</v>
      </c>
    </row>
    <row r="9" customFormat="false" ht="15" hidden="false" customHeight="true" outlineLevel="0" collapsed="false">
      <c r="A9" s="6" t="s">
        <v>53</v>
      </c>
      <c r="B9" s="6" t="s">
        <v>42</v>
      </c>
      <c r="C9" s="6" t="s">
        <v>35</v>
      </c>
      <c r="D9" s="6" t="s">
        <v>54</v>
      </c>
      <c r="E9" s="6" t="s">
        <v>37</v>
      </c>
    </row>
    <row r="10" customFormat="false" ht="15" hidden="false" customHeight="true" outlineLevel="0" collapsed="false">
      <c r="A10" s="6" t="s">
        <v>55</v>
      </c>
      <c r="B10" s="6" t="s">
        <v>39</v>
      </c>
      <c r="C10" s="6" t="s">
        <v>51</v>
      </c>
      <c r="D10" s="6" t="s">
        <v>56</v>
      </c>
      <c r="E10" s="6" t="s">
        <v>37</v>
      </c>
    </row>
    <row r="11" customFormat="false" ht="15" hidden="false" customHeight="true" outlineLevel="0" collapsed="false">
      <c r="A11" s="6" t="s">
        <v>57</v>
      </c>
      <c r="B11" s="6" t="s">
        <v>34</v>
      </c>
      <c r="C11" s="6" t="s">
        <v>35</v>
      </c>
      <c r="D11" s="6" t="s">
        <v>58</v>
      </c>
      <c r="E11" s="6" t="s">
        <v>37</v>
      </c>
    </row>
    <row r="12" customFormat="false" ht="15" hidden="false" customHeight="true" outlineLevel="0" collapsed="false">
      <c r="A12" s="6" t="s">
        <v>59</v>
      </c>
      <c r="B12" s="6" t="s">
        <v>50</v>
      </c>
      <c r="C12" s="6" t="s">
        <v>35</v>
      </c>
      <c r="D12" s="6" t="s">
        <v>60</v>
      </c>
      <c r="E12" s="6" t="s">
        <v>37</v>
      </c>
    </row>
    <row r="13" customFormat="false" ht="15" hidden="false" customHeight="true" outlineLevel="0" collapsed="false">
      <c r="A13" s="6" t="s">
        <v>61</v>
      </c>
      <c r="B13" s="6" t="s">
        <v>42</v>
      </c>
      <c r="C13" s="6" t="s">
        <v>43</v>
      </c>
      <c r="D13" s="6" t="s">
        <v>62</v>
      </c>
      <c r="E13" s="6" t="s">
        <v>45</v>
      </c>
    </row>
    <row r="14" customFormat="false" ht="15" hidden="false" customHeight="true" outlineLevel="0" collapsed="false">
      <c r="A14" s="6" t="s">
        <v>63</v>
      </c>
      <c r="B14" s="6" t="s">
        <v>64</v>
      </c>
      <c r="C14" s="6" t="s">
        <v>35</v>
      </c>
      <c r="D14" s="6" t="s">
        <v>65</v>
      </c>
      <c r="E14" s="6" t="s">
        <v>37</v>
      </c>
    </row>
    <row r="15" customFormat="false" ht="15" hidden="false" customHeight="true" outlineLevel="0" collapsed="false">
      <c r="A15" s="6" t="s">
        <v>66</v>
      </c>
      <c r="B15" s="6" t="s">
        <v>47</v>
      </c>
      <c r="C15" s="6" t="s">
        <v>51</v>
      </c>
      <c r="D15" s="6" t="s">
        <v>67</v>
      </c>
      <c r="E15" s="6" t="s">
        <v>37</v>
      </c>
    </row>
    <row r="16" customFormat="false" ht="15" hidden="false" customHeight="true" outlineLevel="0" collapsed="false">
      <c r="A16" s="6" t="s">
        <v>68</v>
      </c>
      <c r="B16" s="6" t="s">
        <v>47</v>
      </c>
      <c r="C16" s="6" t="s">
        <v>43</v>
      </c>
      <c r="D16" s="6" t="s">
        <v>69</v>
      </c>
      <c r="E16" s="6" t="s">
        <v>45</v>
      </c>
    </row>
    <row r="17" customFormat="false" ht="15" hidden="false" customHeight="true" outlineLevel="0" collapsed="false">
      <c r="A17" s="6" t="s">
        <v>70</v>
      </c>
      <c r="B17" s="6" t="s">
        <v>50</v>
      </c>
      <c r="C17" s="6" t="s">
        <v>43</v>
      </c>
      <c r="D17" s="6" t="s">
        <v>71</v>
      </c>
      <c r="E17" s="6" t="s">
        <v>45</v>
      </c>
    </row>
    <row r="18" customFormat="false" ht="15" hidden="false" customHeight="true" outlineLevel="0" collapsed="false">
      <c r="A18" s="6" t="s">
        <v>72</v>
      </c>
      <c r="B18" s="6" t="s">
        <v>42</v>
      </c>
      <c r="C18" s="6" t="s">
        <v>35</v>
      </c>
      <c r="D18" s="6" t="s">
        <v>73</v>
      </c>
      <c r="E18" s="6" t="s">
        <v>37</v>
      </c>
    </row>
    <row r="19" customFormat="false" ht="15" hidden="false" customHeight="true" outlineLevel="0" collapsed="false">
      <c r="A19" s="6" t="s">
        <v>74</v>
      </c>
      <c r="B19" s="6" t="s">
        <v>64</v>
      </c>
      <c r="C19" s="6" t="s">
        <v>43</v>
      </c>
      <c r="D19" s="6" t="s">
        <v>75</v>
      </c>
      <c r="E19" s="6" t="s">
        <v>45</v>
      </c>
    </row>
    <row r="21" customFormat="false" ht="15" hidden="false" customHeight="true" outlineLevel="0" collapsed="false">
      <c r="A21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14"/>
  </cols>
  <sheetData>
    <row r="1" customFormat="false" ht="15.75" hidden="false" customHeight="true" outlineLevel="0" collapsed="false">
      <c r="A1" s="2" t="s">
        <v>77</v>
      </c>
    </row>
    <row r="3" customFormat="false" ht="15" hidden="false" customHeight="true" outlineLevel="0" collapsed="false">
      <c r="A3" s="4" t="s">
        <v>78</v>
      </c>
      <c r="B3" s="4" t="s">
        <v>79</v>
      </c>
      <c r="C3" s="4" t="s">
        <v>80</v>
      </c>
    </row>
    <row r="4" customFormat="false" ht="15" hidden="false" customHeight="true" outlineLevel="0" collapsed="false">
      <c r="A4" s="6" t="s">
        <v>34</v>
      </c>
      <c r="B4" s="6" t="n">
        <f aca="false">COUNTIF(Defectos!$B$4:$B$19,A4)</f>
        <v>2</v>
      </c>
      <c r="C4" s="8" t="n">
        <f aca="false">B4/$B$10</f>
        <v>0.125</v>
      </c>
    </row>
    <row r="5" customFormat="false" ht="15" hidden="false" customHeight="true" outlineLevel="0" collapsed="false">
      <c r="A5" s="6" t="s">
        <v>42</v>
      </c>
      <c r="B5" s="6" t="n">
        <f aca="false">COUNTIF(Defectos!$B$4:$B$19,A5)</f>
        <v>4</v>
      </c>
      <c r="C5" s="8" t="n">
        <f aca="false">B5/$B$10</f>
        <v>0.25</v>
      </c>
    </row>
    <row r="6" customFormat="false" ht="15" hidden="false" customHeight="true" outlineLevel="0" collapsed="false">
      <c r="A6" s="6" t="s">
        <v>39</v>
      </c>
      <c r="B6" s="6" t="n">
        <f aca="false">COUNTIF(Defectos!$B$4:$B$19,A6)</f>
        <v>2</v>
      </c>
      <c r="C6" s="8" t="n">
        <f aca="false">B6/$B$10</f>
        <v>0.125</v>
      </c>
    </row>
    <row r="7" customFormat="false" ht="15" hidden="false" customHeight="true" outlineLevel="0" collapsed="false">
      <c r="A7" s="6" t="s">
        <v>47</v>
      </c>
      <c r="B7" s="6" t="n">
        <f aca="false">COUNTIF(Defectos!$B$4:$B$19,A7)</f>
        <v>3</v>
      </c>
      <c r="C7" s="8" t="n">
        <f aca="false">B7/$B$10</f>
        <v>0.1875</v>
      </c>
    </row>
    <row r="8" customFormat="false" ht="15" hidden="false" customHeight="true" outlineLevel="0" collapsed="false">
      <c r="A8" s="6" t="s">
        <v>50</v>
      </c>
      <c r="B8" s="6" t="n">
        <f aca="false">COUNTIF(Defectos!$B$4:$B$19,A8)</f>
        <v>3</v>
      </c>
      <c r="C8" s="8" t="n">
        <f aca="false">B8/$B$10</f>
        <v>0.1875</v>
      </c>
    </row>
    <row r="9" customFormat="false" ht="15" hidden="false" customHeight="true" outlineLevel="0" collapsed="false">
      <c r="A9" s="6" t="s">
        <v>64</v>
      </c>
      <c r="B9" s="6" t="n">
        <f aca="false">COUNTIF(Defectos!$B$4:$B$19,A9)</f>
        <v>2</v>
      </c>
      <c r="C9" s="8" t="n">
        <f aca="false">B9/$B$10</f>
        <v>0.125</v>
      </c>
    </row>
    <row r="10" customFormat="false" ht="15" hidden="false" customHeight="true" outlineLevel="0" collapsed="false">
      <c r="A10" s="9" t="s">
        <v>81</v>
      </c>
      <c r="B10" s="9" t="n">
        <f aca="false">SUM(B4:B9)</f>
        <v>16</v>
      </c>
      <c r="C10" s="10" t="n">
        <f aca="false">SUM(C4:C9)</f>
        <v>1</v>
      </c>
    </row>
    <row r="12" customFormat="false" ht="15" hidden="false" customHeight="true" outlineLevel="0" collapsed="false">
      <c r="A12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52"/>
  </cols>
  <sheetData>
    <row r="1" customFormat="false" ht="15.75" hidden="false" customHeight="true" outlineLevel="0" collapsed="false">
      <c r="A1" s="2" t="s">
        <v>83</v>
      </c>
    </row>
    <row r="3" customFormat="false" ht="15" hidden="false" customHeight="true" outlineLevel="0" collapsed="false">
      <c r="A3" s="4" t="s">
        <v>30</v>
      </c>
      <c r="B3" s="4" t="s">
        <v>79</v>
      </c>
      <c r="C3" s="4" t="s">
        <v>80</v>
      </c>
      <c r="D3" s="4" t="s">
        <v>84</v>
      </c>
    </row>
    <row r="4" customFormat="false" ht="15" hidden="false" customHeight="true" outlineLevel="0" collapsed="false">
      <c r="A4" s="6" t="s">
        <v>51</v>
      </c>
      <c r="B4" s="6" t="n">
        <f aca="false">COUNTIF(Defectos!$C$4:$C$19,A4)</f>
        <v>3</v>
      </c>
      <c r="C4" s="8" t="n">
        <f aca="false">B4/$B$7</f>
        <v>0.1875</v>
      </c>
      <c r="D4" s="7" t="s">
        <v>85</v>
      </c>
    </row>
    <row r="5" customFormat="false" ht="15" hidden="false" customHeight="true" outlineLevel="0" collapsed="false">
      <c r="A5" s="6" t="s">
        <v>35</v>
      </c>
      <c r="B5" s="6" t="n">
        <f aca="false">COUNTIF(Defectos!$C$4:$C$19,A5)</f>
        <v>8</v>
      </c>
      <c r="C5" s="8" t="n">
        <f aca="false">B5/$B$7</f>
        <v>0.5</v>
      </c>
      <c r="D5" s="7" t="s">
        <v>85</v>
      </c>
    </row>
    <row r="6" customFormat="false" ht="15" hidden="false" customHeight="true" outlineLevel="0" collapsed="false">
      <c r="A6" s="6" t="s">
        <v>43</v>
      </c>
      <c r="B6" s="6" t="n">
        <f aca="false">COUNTIF(Defectos!$C$4:$C$19,A6)</f>
        <v>5</v>
      </c>
      <c r="C6" s="8" t="n">
        <f aca="false">B6/$B$7</f>
        <v>0.3125</v>
      </c>
      <c r="D6" s="7" t="s">
        <v>86</v>
      </c>
    </row>
    <row r="7" customFormat="false" ht="15" hidden="false" customHeight="true" outlineLevel="0" collapsed="false">
      <c r="A7" s="11" t="s">
        <v>81</v>
      </c>
      <c r="B7" s="11" t="n">
        <f aca="false">SUM(B4:B6)</f>
        <v>16</v>
      </c>
      <c r="C7" s="12" t="n">
        <f aca="false">SUM(C4:C6)</f>
        <v>1</v>
      </c>
      <c r="D7" s="13"/>
    </row>
    <row r="9" customFormat="false" ht="15" hidden="false" customHeight="true" outlineLevel="0" collapsed="false">
      <c r="A9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18"/>
  </cols>
  <sheetData>
    <row r="1" customFormat="false" ht="15.75" hidden="false" customHeight="true" outlineLevel="0" collapsed="false">
      <c r="A1" s="2" t="s">
        <v>88</v>
      </c>
    </row>
    <row r="3" customFormat="false" ht="34.5" hidden="false" customHeight="true" outlineLevel="0" collapsed="false">
      <c r="A3" s="4" t="s">
        <v>89</v>
      </c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</row>
    <row r="4" customFormat="false" ht="15" hidden="false" customHeight="true" outlineLevel="0" collapsed="false">
      <c r="A4" s="7" t="s">
        <v>96</v>
      </c>
      <c r="B4" s="6" t="s">
        <v>97</v>
      </c>
      <c r="C4" s="14" t="n">
        <v>1.5</v>
      </c>
      <c r="D4" s="15" t="n">
        <v>7</v>
      </c>
      <c r="E4" s="15" t="n">
        <v>5</v>
      </c>
      <c r="F4" s="16" t="n">
        <f aca="false">D4/C4</f>
        <v>4.66666666666667</v>
      </c>
      <c r="G4" s="8" t="n">
        <f aca="false">E4/$E$8</f>
        <v>0.3125</v>
      </c>
    </row>
    <row r="5" customFormat="false" ht="15" hidden="false" customHeight="true" outlineLevel="0" collapsed="false">
      <c r="A5" s="7" t="s">
        <v>98</v>
      </c>
      <c r="B5" s="6" t="s">
        <v>99</v>
      </c>
      <c r="C5" s="14" t="n">
        <v>1.25</v>
      </c>
      <c r="D5" s="15" t="n">
        <v>6</v>
      </c>
      <c r="E5" s="15" t="n">
        <v>3</v>
      </c>
      <c r="F5" s="16" t="n">
        <f aca="false">D5/C5</f>
        <v>4.8</v>
      </c>
      <c r="G5" s="8" t="n">
        <f aca="false">E5/$E$8</f>
        <v>0.1875</v>
      </c>
    </row>
    <row r="6" customFormat="false" ht="15" hidden="false" customHeight="true" outlineLevel="0" collapsed="false">
      <c r="A6" s="7" t="s">
        <v>100</v>
      </c>
      <c r="B6" s="6" t="s">
        <v>101</v>
      </c>
      <c r="C6" s="14" t="n">
        <v>1.75</v>
      </c>
      <c r="D6" s="15" t="n">
        <v>8</v>
      </c>
      <c r="E6" s="15" t="n">
        <v>5</v>
      </c>
      <c r="F6" s="16" t="n">
        <f aca="false">D6/C6</f>
        <v>4.57142857142857</v>
      </c>
      <c r="G6" s="8" t="n">
        <f aca="false">E6/$E$8</f>
        <v>0.3125</v>
      </c>
    </row>
    <row r="7" customFormat="false" ht="15" hidden="false" customHeight="true" outlineLevel="0" collapsed="false">
      <c r="A7" s="7" t="s">
        <v>96</v>
      </c>
      <c r="B7" s="6" t="s">
        <v>102</v>
      </c>
      <c r="C7" s="14" t="n">
        <v>1</v>
      </c>
      <c r="D7" s="15" t="n">
        <v>7</v>
      </c>
      <c r="E7" s="15" t="n">
        <v>3</v>
      </c>
      <c r="F7" s="16" t="n">
        <f aca="false">D7/C7</f>
        <v>7</v>
      </c>
      <c r="G7" s="8" t="n">
        <f aca="false">E7/$E$8</f>
        <v>0.1875</v>
      </c>
    </row>
    <row r="8" customFormat="false" ht="15" hidden="false" customHeight="true" outlineLevel="0" collapsed="false">
      <c r="A8" s="9" t="s">
        <v>103</v>
      </c>
      <c r="B8" s="9"/>
      <c r="C8" s="17" t="n">
        <f aca="false">SUM(C4:C7)</f>
        <v>5.5</v>
      </c>
      <c r="D8" s="18" t="n">
        <f aca="false">SUM(D4:D7)</f>
        <v>28</v>
      </c>
      <c r="E8" s="18" t="n">
        <f aca="false">SUM(E4:E7)</f>
        <v>16</v>
      </c>
      <c r="F8" s="17" t="n">
        <f aca="false">D8/C8</f>
        <v>5.09090909090909</v>
      </c>
      <c r="G8" s="10" t="n">
        <f aca="false">SUM(G4:G7)</f>
        <v>1</v>
      </c>
    </row>
    <row r="10" customFormat="false" ht="15" hidden="false" customHeight="true" outlineLevel="0" collapsed="false">
      <c r="A10" s="3" t="s">
        <v>104</v>
      </c>
    </row>
    <row r="11" customFormat="false" ht="15" hidden="false" customHeight="true" outlineLevel="0" collapsed="false">
      <c r="A11" s="3" t="s">
        <v>105</v>
      </c>
    </row>
  </sheetData>
  <mergeCells count="1"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6"/>
  </cols>
  <sheetData>
    <row r="1" customFormat="false" ht="15.75" hidden="false" customHeight="true" outlineLevel="0" collapsed="false">
      <c r="A1" s="2" t="s">
        <v>106</v>
      </c>
    </row>
    <row r="3" customFormat="false" ht="23.25" hidden="false" customHeight="true" outlineLevel="0" collapsed="false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</row>
    <row r="4" customFormat="false" ht="15" hidden="false" customHeight="true" outlineLevel="0" collapsed="false">
      <c r="A4" s="7" t="s">
        <v>112</v>
      </c>
      <c r="B4" s="15" t="n">
        <v>1</v>
      </c>
      <c r="C4" s="14" t="n">
        <v>0.5</v>
      </c>
      <c r="D4" s="16" t="n">
        <f aca="false">B4*C4</f>
        <v>0.5</v>
      </c>
      <c r="E4" s="7" t="s">
        <v>113</v>
      </c>
    </row>
    <row r="5" customFormat="false" ht="15" hidden="false" customHeight="true" outlineLevel="0" collapsed="false">
      <c r="A5" s="7" t="s">
        <v>114</v>
      </c>
      <c r="B5" s="15" t="n">
        <v>1</v>
      </c>
      <c r="C5" s="14" t="n">
        <v>1.5</v>
      </c>
      <c r="D5" s="16" t="n">
        <f aca="false">B5*C5</f>
        <v>1.5</v>
      </c>
      <c r="E5" s="7" t="s">
        <v>115</v>
      </c>
    </row>
    <row r="6" customFormat="false" ht="15" hidden="false" customHeight="true" outlineLevel="0" collapsed="false">
      <c r="A6" s="7" t="s">
        <v>116</v>
      </c>
      <c r="B6" s="15" t="n">
        <v>1</v>
      </c>
      <c r="C6" s="14" t="n">
        <v>1.25</v>
      </c>
      <c r="D6" s="16" t="n">
        <f aca="false">B6*C6</f>
        <v>1.25</v>
      </c>
      <c r="E6" s="7" t="s">
        <v>117</v>
      </c>
    </row>
    <row r="7" customFormat="false" ht="15" hidden="false" customHeight="true" outlineLevel="0" collapsed="false">
      <c r="A7" s="7" t="s">
        <v>118</v>
      </c>
      <c r="B7" s="15" t="n">
        <v>1</v>
      </c>
      <c r="C7" s="14" t="n">
        <v>1.75</v>
      </c>
      <c r="D7" s="16" t="n">
        <f aca="false">B7*C7</f>
        <v>1.75</v>
      </c>
      <c r="E7" s="7" t="s">
        <v>119</v>
      </c>
    </row>
    <row r="8" customFormat="false" ht="23.25" hidden="false" customHeight="true" outlineLevel="0" collapsed="false">
      <c r="A8" s="7" t="s">
        <v>120</v>
      </c>
      <c r="B8" s="15" t="n">
        <v>1</v>
      </c>
      <c r="C8" s="14" t="n">
        <v>1</v>
      </c>
      <c r="D8" s="16" t="n">
        <f aca="false">B8*C8</f>
        <v>1</v>
      </c>
      <c r="E8" s="7" t="s">
        <v>121</v>
      </c>
    </row>
    <row r="9" customFormat="false" ht="15" hidden="false" customHeight="true" outlineLevel="0" collapsed="false">
      <c r="A9" s="7" t="s">
        <v>122</v>
      </c>
      <c r="B9" s="15" t="n">
        <v>3</v>
      </c>
      <c r="C9" s="14" t="n">
        <f aca="false">Parametros!B9/60</f>
        <v>1.41666666666667</v>
      </c>
      <c r="D9" s="16" t="n">
        <f aca="false">B9*C9</f>
        <v>4.25</v>
      </c>
      <c r="E9" s="7" t="s">
        <v>123</v>
      </c>
    </row>
    <row r="10" customFormat="false" ht="23.25" hidden="false" customHeight="true" outlineLevel="0" collapsed="false">
      <c r="A10" s="7" t="s">
        <v>124</v>
      </c>
      <c r="B10" s="15" t="n">
        <v>1</v>
      </c>
      <c r="C10" s="14" t="n">
        <v>0.25</v>
      </c>
      <c r="D10" s="16" t="n">
        <f aca="false">B10*C10</f>
        <v>0.25</v>
      </c>
      <c r="E10" s="7" t="s">
        <v>113</v>
      </c>
    </row>
    <row r="11" customFormat="false" ht="15" hidden="false" customHeight="true" outlineLevel="0" collapsed="false">
      <c r="A11" s="11" t="s">
        <v>125</v>
      </c>
      <c r="B11" s="13"/>
      <c r="C11" s="13"/>
      <c r="D11" s="19" t="n">
        <f aca="false">SUM(D4:D10)</f>
        <v>10.5</v>
      </c>
      <c r="E11" s="13"/>
    </row>
    <row r="13" customFormat="false" ht="15" hidden="false" customHeight="true" outlineLevel="0" collapsed="false">
      <c r="A13" s="20" t="s">
        <v>126</v>
      </c>
      <c r="D13" s="21" t="n">
        <f aca="false">D11/Por_tipo!B10</f>
        <v>0.65625</v>
      </c>
    </row>
    <row r="14" customFormat="false" ht="15" hidden="false" customHeight="true" outlineLevel="0" collapsed="false">
      <c r="A14" s="20" t="s">
        <v>127</v>
      </c>
      <c r="D14" s="22" t="n">
        <v>34</v>
      </c>
    </row>
    <row r="15" customFormat="false" ht="15" hidden="false" customHeight="true" outlineLevel="0" collapsed="false">
      <c r="A15" s="20" t="s">
        <v>128</v>
      </c>
      <c r="D15" s="21" t="n">
        <f aca="false">(D14+8)/D11</f>
        <v>4</v>
      </c>
    </row>
    <row r="17" customFormat="false" ht="15" hidden="false" customHeight="true" outlineLevel="0" collapsed="false">
      <c r="A17" s="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78"/>
  </cols>
  <sheetData>
    <row r="1" customFormat="false" ht="15.75" hidden="false" customHeight="true" outlineLevel="0" collapsed="false">
      <c r="A1" s="2" t="s">
        <v>130</v>
      </c>
    </row>
    <row r="3" customFormat="false" ht="15" hidden="false" customHeight="true" outlineLevel="0" collapsed="false">
      <c r="A3" s="4" t="s">
        <v>131</v>
      </c>
      <c r="B3" s="4" t="s">
        <v>132</v>
      </c>
      <c r="C3" s="4" t="s">
        <v>3</v>
      </c>
      <c r="D3" s="4" t="s">
        <v>133</v>
      </c>
    </row>
    <row r="4" customFormat="false" ht="42" hidden="false" customHeight="true" outlineLevel="0" collapsed="false">
      <c r="A4" s="23" t="s">
        <v>134</v>
      </c>
      <c r="B4" s="7" t="s">
        <v>135</v>
      </c>
      <c r="C4" s="17" t="n">
        <f aca="false">Por_tipo!B10/Parametros!B7</f>
        <v>0.4</v>
      </c>
      <c r="D4" s="7" t="s">
        <v>136</v>
      </c>
    </row>
    <row r="5" customFormat="false" ht="42" hidden="false" customHeight="true" outlineLevel="0" collapsed="false">
      <c r="A5" s="23" t="s">
        <v>137</v>
      </c>
      <c r="B5" s="7" t="s">
        <v>138</v>
      </c>
      <c r="C5" s="18" t="n">
        <f aca="false">MAX(Por_tipo!B4:B9)</f>
        <v>4</v>
      </c>
      <c r="D5" s="7" t="s">
        <v>139</v>
      </c>
    </row>
    <row r="6" customFormat="false" ht="42" hidden="false" customHeight="true" outlineLevel="0" collapsed="false">
      <c r="A6" s="23" t="s">
        <v>140</v>
      </c>
      <c r="B6" s="7" t="s">
        <v>141</v>
      </c>
      <c r="C6" s="10" t="n">
        <f aca="false">Por_severidad!B4/Por_severidad!B7</f>
        <v>0.1875</v>
      </c>
      <c r="D6" s="7" t="s">
        <v>142</v>
      </c>
    </row>
    <row r="7" customFormat="false" ht="42" hidden="false" customHeight="true" outlineLevel="0" collapsed="false">
      <c r="A7" s="23" t="s">
        <v>143</v>
      </c>
      <c r="B7" s="7" t="s">
        <v>144</v>
      </c>
      <c r="C7" s="10" t="n">
        <f aca="false">(Por_severidad!B4+Por_severidad!B5)/Por_severidad!B7</f>
        <v>0.6875</v>
      </c>
      <c r="D7" s="7" t="s">
        <v>145</v>
      </c>
    </row>
    <row r="8" customFormat="false" ht="42" hidden="false" customHeight="true" outlineLevel="0" collapsed="false">
      <c r="A8" s="23" t="s">
        <v>146</v>
      </c>
      <c r="B8" s="7" t="s">
        <v>147</v>
      </c>
      <c r="C8" s="10" t="n">
        <f aca="false">(Parametros!B12-Por_tipo!B10)/Parametros!B12</f>
        <v>0.428571428571429</v>
      </c>
      <c r="D8" s="7" t="s">
        <v>148</v>
      </c>
    </row>
    <row r="9" customFormat="false" ht="42" hidden="false" customHeight="true" outlineLevel="0" collapsed="false">
      <c r="A9" s="23" t="s">
        <v>125</v>
      </c>
      <c r="B9" s="7" t="s">
        <v>149</v>
      </c>
      <c r="C9" s="24" t="n">
        <f aca="false">Esfuerzo!D11</f>
        <v>10.5</v>
      </c>
      <c r="D9" s="7" t="s">
        <v>150</v>
      </c>
    </row>
    <row r="10" customFormat="false" ht="42" hidden="false" customHeight="true" outlineLevel="0" collapsed="false">
      <c r="A10" s="23" t="s">
        <v>151</v>
      </c>
      <c r="B10" s="7" t="s">
        <v>152</v>
      </c>
      <c r="C10" s="17" t="n">
        <f aca="false">Esfuerzo!D13</f>
        <v>0.65625</v>
      </c>
      <c r="D10" s="7" t="s">
        <v>153</v>
      </c>
    </row>
    <row r="11" customFormat="false" ht="42" hidden="false" customHeight="true" outlineLevel="0" collapsed="false">
      <c r="A11" s="23" t="s">
        <v>154</v>
      </c>
      <c r="B11" s="7" t="s">
        <v>155</v>
      </c>
      <c r="C11" s="10" t="n">
        <f aca="false">COUNTIF(Defectos!E4:E19,"Corregido en v3.1")/(Por_severidad!B4+Por_severidad!B5)</f>
        <v>1</v>
      </c>
      <c r="D11" s="7" t="s">
        <v>156</v>
      </c>
    </row>
    <row r="12" customFormat="false" ht="42" hidden="false" customHeight="true" outlineLevel="0" collapsed="false">
      <c r="A12" s="23" t="s">
        <v>157</v>
      </c>
      <c r="B12" s="7" t="s">
        <v>158</v>
      </c>
      <c r="C12" s="10" t="n">
        <f aca="false">COUNTIF(Defectos!E4:E19,"Corregido en v3.1")/Por_tipo!B10</f>
        <v>0.6875</v>
      </c>
      <c r="D12" s="7" t="s">
        <v>159</v>
      </c>
    </row>
    <row r="14" customFormat="false" ht="15" hidden="false" customHeight="true" outlineLevel="0" collapsed="false">
      <c r="A14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78"/>
  </cols>
  <sheetData>
    <row r="1" customFormat="false" ht="15.75" hidden="false" customHeight="true" outlineLevel="0" collapsed="false">
      <c r="A1" s="2" t="s">
        <v>161</v>
      </c>
    </row>
    <row r="3" customFormat="false" ht="15" hidden="false" customHeight="true" outlineLevel="0" collapsed="false">
      <c r="A3" s="4" t="s">
        <v>162</v>
      </c>
      <c r="B3" s="4" t="s">
        <v>163</v>
      </c>
      <c r="C3" s="4" t="s">
        <v>164</v>
      </c>
    </row>
    <row r="4" customFormat="false" ht="15" hidden="false" customHeight="true" outlineLevel="0" collapsed="false">
      <c r="A4" s="7" t="s">
        <v>165</v>
      </c>
      <c r="B4" s="15" t="n">
        <v>75</v>
      </c>
      <c r="C4" s="7" t="s">
        <v>166</v>
      </c>
    </row>
    <row r="5" customFormat="false" ht="15" hidden="false" customHeight="true" outlineLevel="0" collapsed="false">
      <c r="A5" s="7" t="s">
        <v>167</v>
      </c>
      <c r="B5" s="15" t="n">
        <v>2</v>
      </c>
      <c r="C5" s="7" t="s">
        <v>168</v>
      </c>
    </row>
    <row r="6" customFormat="false" ht="15" hidden="false" customHeight="true" outlineLevel="0" collapsed="false">
      <c r="A6" s="7" t="s">
        <v>169</v>
      </c>
      <c r="B6" s="15" t="n">
        <v>8</v>
      </c>
      <c r="C6" s="7" t="s">
        <v>170</v>
      </c>
    </row>
    <row r="7" customFormat="false" ht="15" hidden="false" customHeight="true" outlineLevel="0" collapsed="false">
      <c r="A7" s="7" t="s">
        <v>171</v>
      </c>
      <c r="B7" s="15" t="n">
        <v>0</v>
      </c>
      <c r="C7" s="7" t="s">
        <v>172</v>
      </c>
    </row>
    <row r="9" customFormat="false" ht="15" hidden="false" customHeight="true" outlineLevel="0" collapsed="false">
      <c r="A9" s="11" t="s">
        <v>173</v>
      </c>
      <c r="B9" s="12" t="n">
        <f aca="false">(B5+B6+B7)/B4</f>
        <v>0.133333333333333</v>
      </c>
      <c r="C9" s="13"/>
    </row>
    <row r="10" customFormat="false" ht="15" hidden="false" customHeight="true" outlineLevel="0" collapsed="false">
      <c r="A10" s="11" t="s">
        <v>174</v>
      </c>
      <c r="B10" s="12" t="n">
        <f aca="false">(B5+2)/B4</f>
        <v>0.0533333333333333</v>
      </c>
      <c r="C10" s="25" t="s">
        <v>175</v>
      </c>
    </row>
    <row r="11" customFormat="false" ht="15" hidden="false" customHeight="true" outlineLevel="0" collapsed="false">
      <c r="A11" s="11" t="s">
        <v>176</v>
      </c>
      <c r="B11" s="26" t="n">
        <f aca="false">B4+B5-B7</f>
        <v>77</v>
      </c>
      <c r="C11" s="13"/>
    </row>
    <row r="13" customFormat="false" ht="15" hidden="false" customHeight="true" outlineLevel="0" collapsed="false">
      <c r="A13" s="3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2026-08-06T03:01:33Z</dcterms:created>
  <dc:creator>openpyxl</dc:creator>
  <dc:description/>
  <dc:language>en-US</dc:language>
  <cp:lastModifiedBy/>
  <dcterms:modified xsi:type="dcterms:W3CDTF">2026-08-06T03:01:56Z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