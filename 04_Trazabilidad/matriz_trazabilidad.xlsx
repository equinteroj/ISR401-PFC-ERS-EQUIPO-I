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trazabilidad" sheetId="1" state="visible" r:id="rId3"/>
  </sheets>
  <definedNames>
    <definedName function="false" hidden="false" localSheetId="0" name="_xlnm.Print_Titles" vbProcedure="false">'Matriz de trazabilidad'!$5:$5</definedName>
    <definedName function="false" hidden="true" localSheetId="0" name="_xlnm._FilterDatabase" vbProcedure="false">'Matriz de trazabilidad'!$A$5:$F$35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<sst xmlns="http://schemas.openxmlformats.org/spreadsheetml/2006/main" count="163" uniqueCount="137">
  <si>
    <t xml:space="preserve">MATRIZ DE TRAZABILIDAD — SIMPA (Sistema Inteligente de Mantenimiento de Palma Africana)</t>
  </si>
  <si>
    <t xml:space="preserve">Forma: Stakeholder → Requisito funcional → Caso de uso → Clase/Módulo → Prueba</t>
  </si>
  <si>
    <t xml:space="preserve">Fuente: ERS/SRS SIMPA v3.1 (v1.1 de la asignatura), Equipo AHMRV — ISR-401. Secciones 3.2 (requisitos funcionales), 4.2 (casos de uso), 4.3 (diagrama de clases), 4.7 (componentes) y 5.2 (historias de usuario y criterios de aceptación).</t>
  </si>
  <si>
    <t xml:space="preserve">#</t>
  </si>
  <si>
    <t xml:space="preserve">Stakeholder</t>
  </si>
  <si>
    <t xml:space="preserve">Requisito funcional (RF)</t>
  </si>
  <si>
    <t xml:space="preserve">Caso de uso (CU)</t>
  </si>
  <si>
    <t xml:space="preserve">Clase / Módulo</t>
  </si>
  <si>
    <t xml:space="preserve">Prueba (criterio de verificación / aceptación)</t>
  </si>
  <si>
    <t xml:space="preserve">Administrador general</t>
  </si>
  <si>
    <t xml:space="preserve">RF-01 — Autenticación y control de acceso por rol</t>
  </si>
  <si>
    <t xml:space="preserve">CU-11 Iniciar sesión</t>
  </si>
  <si>
    <t xml:space="preserve">Usuario, Persona / Servicio de autenticación y roles</t>
  </si>
  <si>
    <t xml:space="preserve">CA-01: una cuenta con rol trabajador agrícola no muestra ninguna opción de administración y el acceso directo a esa ruta es rechazado.</t>
  </si>
  <si>
    <t xml:space="preserve">RF-02 — Gestión de plantaciones y lotes</t>
  </si>
  <si>
    <t xml:space="preserve">CU-12 Gestionar lotes y variedades</t>
  </si>
  <si>
    <t xml:space="preserve">Plantacion, Lote / Módulo de estructura productiva</t>
  </si>
  <si>
    <t xml:space="preserve">CA-02: un lote recién registrado con variedad asignada aparece como opción seleccionable en el formulario de registro de labor.</t>
  </si>
  <si>
    <t xml:space="preserve">RF-03 — Gestión de personal y equipos de trabajo</t>
  </si>
  <si>
    <t xml:space="preserve">CU-13 Gestionar personal</t>
  </si>
  <si>
    <t xml:space="preserve">Persona / Módulo de personal y equipos</t>
  </si>
  <si>
    <t xml:space="preserve">CA-03: un trabajador asignado al equipo de polinización figura en él y resulta asignable a labores de ese tipo.</t>
  </si>
  <si>
    <t xml:space="preserve">Trabajador agrícola</t>
  </si>
  <si>
    <t xml:space="preserve">RF-04 — Registro de labores agrícolas</t>
  </si>
  <si>
    <t xml:space="preserve">CU-04 Registrar labor agrícola</t>
  </si>
  <si>
    <t xml:space="preserve">Labor, Lote / Almacén local offline-first</t>
  </si>
  <si>
    <t xml:space="preserve">CA-04: una labor de chapia registrada queda vinculada al lote, la fecha y la identificación de la persona, y aparece en el historial del lote.</t>
  </si>
  <si>
    <t xml:space="preserve">RF-28 — Registro de avance por unidad de labor</t>
  </si>
  <si>
    <t xml:space="preserve">RegistroAvance, MetaLabor</t>
  </si>
  <si>
    <t xml:space="preserve">CA-17: un avance de 120 coronas se acumula al total semanal en la unidad coronas; una unidad incompatible con el tipo de labor es rechazada.</t>
  </si>
  <si>
    <t xml:space="preserve">Jefe de campo / Asistente de administración</t>
  </si>
  <si>
    <t xml:space="preserve">RF-35 — Registro delegado para personal sin dispositivo propio</t>
  </si>
  <si>
    <t xml:space="preserve">CU-04 Registrar labor agrícola (flujo alternativo A)</t>
  </si>
  <si>
    <t xml:space="preserve">RegistroAvance, Persona (poseeDispositivo) / Motor de sincronización</t>
  </si>
  <si>
    <t xml:space="preserve">CA-19: el avance delegado se atribuye a la persona trabajadora en su consolidado y la bitácora conserva la identificación de quien lo registró.</t>
  </si>
  <si>
    <t xml:space="preserve">Técnico fitosanitario</t>
  </si>
  <si>
    <t xml:space="preserve">RF-05 — Registro de monitoreo fitosanitario</t>
  </si>
  <si>
    <t xml:space="preserve">CU-15 Registrar monitoreo fitosanitario</t>
  </si>
  <si>
    <t xml:space="preserve">Incidencia, Lote</t>
  </si>
  <si>
    <t xml:space="preserve">CA-05: registrado un monitoreo con incidencia marcada, el filtro de lotes con incidencia abierta devuelve ese lote.</t>
  </si>
  <si>
    <t xml:space="preserve">Asistente de administración</t>
  </si>
  <si>
    <t xml:space="preserve">RF-07 — Detección de plagas y enfermedades por análisis de imagen</t>
  </si>
  <si>
    <t xml:space="preserve">CU-01 Analizar imagen de plaga (IA)</t>
  </si>
  <si>
    <t xml:space="preserve">Diagnostico, DiagnosticoPlaga, Explicacion / Orquestador de IA</t>
  </si>
  <si>
    <t xml:space="preserve">CA-06: ante una imagen con afectación conocida el sistema devuelve clase, nivel de confianza y explicación de ≤ 60 palabras, y registra el diagnóstico con lote y fecha.</t>
  </si>
  <si>
    <t xml:space="preserve">Administrador / Asesor técnico</t>
  </si>
  <si>
    <t xml:space="preserve">RF-08 — Diagnóstico de deficiencias nutricionales por imagen</t>
  </si>
  <si>
    <t xml:space="preserve">CU-02 Diagnosticar deficiencia nutricional (IA)</t>
  </si>
  <si>
    <t xml:space="preserve">DiagnosticoNutricional, AnalisisSueloFoliar, Explicacion</t>
  </si>
  <si>
    <t xml:space="preserve">CA-07: ante una hoja con deficiencia conocida el sistema indica el elemento deficiente, propone una corrección y explica qué signo foliar la sustenta.</t>
  </si>
  <si>
    <t xml:space="preserve">RF-10 — Gestión de variedades de palma</t>
  </si>
  <si>
    <t xml:space="preserve">Variedad (umbralDesprendimiento) / parametrización de umbrales</t>
  </si>
  <si>
    <t xml:space="preserve">CA-08: en un lote guineensis el umbral aplicado es de 3 frutos desprendidos; en un lote híbrido, de 5.</t>
  </si>
  <si>
    <t xml:space="preserve">RF-12 — Generación de alertas tempranas</t>
  </si>
  <si>
    <t xml:space="preserve">CU-16 Generar alerta temprana</t>
  </si>
  <si>
    <t xml:space="preserve">Alerta / Motor de reglas de alerta</t>
  </si>
  <si>
    <t xml:space="preserve">CA-09: registrado un diagnóstico positivo se crea una alerta con lote, tipo, criticidad y estado abierto, visible para el rol responsable.</t>
  </si>
  <si>
    <t xml:space="preserve">Jefe de polinización</t>
  </si>
  <si>
    <t xml:space="preserve">RF-13 — Registro del proceso de polinización</t>
  </si>
  <si>
    <t xml:space="preserve">CU-03 Registrar polinización y conteo GPS</t>
  </si>
  <si>
    <t xml:space="preserve">RegistroPolinizacion (estadoAntesis, verificacionVisual)</t>
  </si>
  <si>
    <t xml:space="preserve">CA-10: el registro de la jornada con estado de antesis queda asociado al lote, la fecha y la persona, y es consultable por fecha.</t>
  </si>
  <si>
    <t xml:space="preserve">Polinizador</t>
  </si>
  <si>
    <t xml:space="preserve">RF-14 — Conteo georreferenciado de flores polinizadas</t>
  </si>
  <si>
    <t xml:space="preserve">Marcacion, RegistroPolinizacion / Gestor de captura (cámara + GPS)</t>
  </si>
  <si>
    <t xml:space="preserve">CA-11: al cerrar la jornada el total de flores se calcula a partir de las marcaciones, sin solicitar ningún registro manual planta por planta.</t>
  </si>
  <si>
    <t xml:space="preserve">RF-15 — Registro y visualización de recorridos del personal</t>
  </si>
  <si>
    <t xml:space="preserve">Recorrido, Consentimiento / Gestor de consentimientos</t>
  </si>
  <si>
    <t xml:space="preserve">El recorrido de una fecha solo se visualiza con consentimiento vigente; revocado el consentimiento (RL-03), el sistema no activa el rastreo y habilita el registro manual sin penalización.</t>
  </si>
  <si>
    <t xml:space="preserve">Cosechador / Técnico de la extractora</t>
  </si>
  <si>
    <t xml:space="preserve">RF-21 — Clasificación de madurez del racimo por desprendimiento</t>
  </si>
  <si>
    <t xml:space="preserve">CU-06 Clasificar madurez del racimo (IA)</t>
  </si>
  <si>
    <t xml:space="preserve">ClasificacionMadurez, Racimo, Variedad</t>
  </si>
  <si>
    <t xml:space="preserve">CA-14: en un lote híbrido, un racimo con 4 frutos desprendidos se clasifica como verde y la explicación indica que el umbral de la variedad es de 5.</t>
  </si>
  <si>
    <t xml:space="preserve">RF-22 — Estimación y alerta preventiva de porcentaje de fruta verde</t>
  </si>
  <si>
    <t xml:space="preserve">CU-06 Clasificar madurez del racimo (flujo alternativo A)</t>
  </si>
  <si>
    <t xml:space="preserve">Alerta, Racimo, Lote (porcentajeFrutaVerde)</t>
  </si>
  <si>
    <t xml:space="preserve">CA-15: configurado un umbral del 3%, un lote que alcanza ese porcentaje genera alerta preventiva y el sistema desaconseja el despacho.</t>
  </si>
  <si>
    <t xml:space="preserve">RF-18 — Estimación de producción y rendimiento</t>
  </si>
  <si>
    <t xml:space="preserve">CU-17 Estimar producción</t>
  </si>
  <si>
    <t xml:space="preserve">Cosecha, Lote, Variedad</t>
  </si>
  <si>
    <t xml:space="preserve">CA-12: a partir de un censo de flores y la variedad del lote, el sistema devuelve el tonelaje estimado del período y el supuesto de rendimiento empleado.</t>
  </si>
  <si>
    <t xml:space="preserve">RF-19 — Generación de reportes</t>
  </si>
  <si>
    <t xml:space="preserve">CU-05 Generar reporte</t>
  </si>
  <si>
    <t xml:space="preserve">Reporte / Módulo de reportes</t>
  </si>
  <si>
    <t xml:space="preserve">CA-13: el reporte semanal consolida labores, avance, producción y alertas del período y se exporta a PDF o a hoja de cálculo.</t>
  </si>
  <si>
    <t xml:space="preserve">RF-26 — Planificación semanal de labores con presupuesto</t>
  </si>
  <si>
    <t xml:space="preserve">CU-07 Planificar la semana de labores</t>
  </si>
  <si>
    <t xml:space="preserve">PlanSemanal, MetaLabor</t>
  </si>
  <si>
    <t xml:space="preserve">CA-16: con una meta de 1.123 coronas y 800 cumplidas, el cierre reporta un cumplimiento del 71,2% y un remanente de 323 coronas.</t>
  </si>
  <si>
    <t xml:space="preserve">RF-27 — Arrastre de labor incompleta a la semana siguiente</t>
  </si>
  <si>
    <t xml:space="preserve">CU-07 Planificar la semana (flujo alternativo A)</t>
  </si>
  <si>
    <t xml:space="preserve">PlanSemanal.generarArrastre(), MetaLabor.remanente()</t>
  </si>
  <si>
    <t xml:space="preserve">Cerrada una semana con cumplimiento parcial, el remanente de 323 coronas aparece en el plan siguiente vinculado a la labor de origen.</t>
  </si>
  <si>
    <t xml:space="preserve">RF-30 — Reporte de incidencia con evidencia fotográfica y georreferencia</t>
  </si>
  <si>
    <t xml:space="preserve">CU-09 Reportar incidencia desde campo</t>
  </si>
  <si>
    <t xml:space="preserve">Incidencia, Marcacion</t>
  </si>
  <si>
    <t xml:space="preserve">CA-18: una incidencia reportada con GPS activo se recupera días después con su fotografía y coordenadas, y figura en la lista de pendientes.</t>
  </si>
  <si>
    <t xml:space="preserve">RF-31 — Lista de verificación de pendientes por visita</t>
  </si>
  <si>
    <t xml:space="preserve">CU-09 Reportar incidencia (flujo alternativo B)</t>
  </si>
  <si>
    <t xml:space="preserve">Incidencia (verificada) / Servicio de trazabilidad</t>
  </si>
  <si>
    <t xml:space="preserve">Al reportarse una incidencia esta aparece en la lista de pendientes de la persona supervisora y desaparece al marcarse como verificada.</t>
  </si>
  <si>
    <t xml:space="preserve">RF-23 — Registro de la calificación de calidad de la extractora</t>
  </si>
  <si>
    <t xml:space="preserve">CU-10 Registrar calificación de la extractora</t>
  </si>
  <si>
    <t xml:space="preserve">CalificacionExtractora, Despacho</t>
  </si>
  <si>
    <t xml:space="preserve">Registrado un ticket, sus valores quedan asociados al lote de origen y son consultables en el histórico; un neto distinto de bruto menos tara es rechazado (E2).</t>
  </si>
  <si>
    <t xml:space="preserve">Técnico de la extractora</t>
  </si>
  <si>
    <t xml:space="preserve">RF-24 — Trazabilidad de la calificación hasta la cuadrilla responsable</t>
  </si>
  <si>
    <t xml:space="preserve">CU-10 Registrar calificación (flujo alternativo A)</t>
  </si>
  <si>
    <t xml:space="preserve">Despacho, Cosecha, Persona / Servicio de trazabilidad</t>
  </si>
  <si>
    <t xml:space="preserve">Dado un despacho penalizado por fruta verde, el sistema identifica el lote, la fecha de corte y la cuadrilla que ejecutó la cosecha.</t>
  </si>
  <si>
    <t xml:space="preserve">RF-25 — Control de la ventana entre corte y entrega</t>
  </si>
  <si>
    <t xml:space="preserve">Cosecha.horasHastaEntrega(), Despacho, Variedad</t>
  </si>
  <si>
    <t xml:space="preserve">Configurado un umbral de 24 horas, un despacho entregado 30 horas después del corte genera la advertencia correspondiente.</t>
  </si>
  <si>
    <t xml:space="preserve">RF-32 — Compartición de la estimación de cosecha con la extractora</t>
  </si>
  <si>
    <t xml:space="preserve">Servicio de exportación (filtrado RD-09)</t>
  </si>
  <si>
    <t xml:space="preserve">El archivo CSV/JSON exportado contiene únicamente conteo de racimos y peso promedio, sin ningún campo de identificación personal ni información económica.</t>
  </si>
  <si>
    <t xml:space="preserve">RF-29 — Consulta de avance acumulado y remuneración estimada</t>
  </si>
  <si>
    <t xml:space="preserve">CU-08 Consultar avance y remuneración</t>
  </si>
  <si>
    <t xml:space="preserve">RegistroAvance, MetaLabor / catálogo de tarifas</t>
  </si>
  <si>
    <t xml:space="preserve">La consulta quincenal muestra el desglose por labor y el valor estimado, coincidente con la suma de los registros diarios, sin permitir edición.</t>
  </si>
  <si>
    <t xml:space="preserve">RF-36 — Catálogo codificado de labores con tarifa por unidad</t>
  </si>
  <si>
    <t xml:space="preserve">MetaLabor (tipoLabor, unidad) / catálogo de tarifas vigentes</t>
  </si>
  <si>
    <t xml:space="preserve">El valor de un registro de 400 unidades de corona equivale al producto entre la cantidad y la tarifa vigente a la fecha del registro.</t>
  </si>
  <si>
    <t xml:space="preserve">RF-37 — Liquidación semanal de presupuesto contra ejecución</t>
  </si>
  <si>
    <t xml:space="preserve">CU-07 Planificar la semana (flujo alternativo C)</t>
  </si>
  <si>
    <t xml:space="preserve">PlanSemanal, RegistroAvance / Módulo de liquidación</t>
  </si>
  <si>
    <t xml:space="preserve">Para una semana con plan y avances, la liquidación presenta cantidad, tarifa, valor y total por grupo de labor y la diferencia entre gasto presupuestado y real.</t>
  </si>
  <si>
    <t xml:space="preserve">Trabajador agrícola / Técnico fitosanitario</t>
  </si>
  <si>
    <t xml:space="preserve">RF-40 — Modo de operación degradada sin inferencia remota (RFC-01)</t>
  </si>
  <si>
    <t xml:space="preserve">CU-01 Analizar imagen de plaga (flujo alternativo C)</t>
  </si>
  <si>
    <t xml:space="preserve">Cache local de umbrales, Variedad.ultimaSincronizacion / Orquestador de IA</t>
  </si>
  <si>
    <t xml:space="preserve">Simulada la indisponibilidad del servicio de IA por más de 4 h, la clasificación se resuelve con los umbrales en caché, se marca «no verificado en línea» y se contrasta al reconectar.</t>
  </si>
  <si>
    <t xml:space="preserve">Total de filas trazadas</t>
  </si>
  <si>
    <t xml:space="preserve">Requisitos funcionales cubiertos</t>
  </si>
  <si>
    <t xml:space="preserve">Casos de uso referenciados (celdas con valor)</t>
  </si>
  <si>
    <t xml:space="preserve">Nota: las filas se derivan literalmente de la ERS v3.1. La columna «Prueba» reproduce el criterio de aceptación en Gherkin (CA-01 a CA-19) cuando el requisito es Must con historia de usuario asociada; en los demás casos reproduce el criterio de verificación de la ficha del requisito (§3.2) o el flujo alternativo del caso de uso que lo comprueba (§4.2). Las clases citadas corresponden al diagrama de clases refinado (Figura 5) y los módulos, al diagrama de componentes (Figura 12).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</si>
</sst>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0"/>
      <name val="Times New Roman"/>
      <family val="0"/>
      <charset val="1"/>
    </font>
    <font>
      <sz val="9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i val="true"/>
      <sz val="9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42" hidden="false" customHeight="true" outlineLevel="0" collapsed="false">
      <c r="A6" s="5" t="n">
        <v>1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customFormat="false" ht="42" hidden="false" customHeight="true" outlineLevel="0" collapsed="false">
      <c r="A7" s="7" t="n">
        <v>2</v>
      </c>
      <c r="B7" s="8" t="s">
        <v>9</v>
      </c>
      <c r="C7" s="8" t="s">
        <v>14</v>
      </c>
      <c r="D7" s="8" t="s">
        <v>15</v>
      </c>
      <c r="E7" s="8" t="s">
        <v>16</v>
      </c>
      <c r="F7" s="8" t="s">
        <v>17</v>
      </c>
    </row>
    <row r="8" customFormat="false" ht="42" hidden="false" customHeight="true" outlineLevel="0" collapsed="false">
      <c r="A8" s="5" t="n">
        <v>3</v>
      </c>
      <c r="B8" s="6" t="s">
        <v>9</v>
      </c>
      <c r="C8" s="6" t="s">
        <v>18</v>
      </c>
      <c r="D8" s="6" t="s">
        <v>19</v>
      </c>
      <c r="E8" s="6" t="s">
        <v>20</v>
      </c>
      <c r="F8" s="6" t="s">
        <v>21</v>
      </c>
    </row>
    <row r="9" customFormat="false" ht="42" hidden="false" customHeight="true" outlineLevel="0" collapsed="false">
      <c r="A9" s="7" t="n">
        <v>4</v>
      </c>
      <c r="B9" s="8" t="s">
        <v>22</v>
      </c>
      <c r="C9" s="8" t="s">
        <v>23</v>
      </c>
      <c r="D9" s="8" t="s">
        <v>24</v>
      </c>
      <c r="E9" s="8" t="s">
        <v>25</v>
      </c>
      <c r="F9" s="8" t="s">
        <v>26</v>
      </c>
    </row>
    <row r="10" customFormat="false" ht="42" hidden="false" customHeight="true" outlineLevel="0" collapsed="false">
      <c r="A10" s="5" t="n">
        <v>5</v>
      </c>
      <c r="B10" s="6" t="s">
        <v>22</v>
      </c>
      <c r="C10" s="6" t="s">
        <v>27</v>
      </c>
      <c r="D10" s="6" t="s">
        <v>24</v>
      </c>
      <c r="E10" s="6" t="s">
        <v>28</v>
      </c>
      <c r="F10" s="6" t="s">
        <v>29</v>
      </c>
    </row>
    <row r="11" customFormat="false" ht="42" hidden="false" customHeight="true" outlineLevel="0" collapsed="false">
      <c r="A11" s="7" t="n">
        <v>6</v>
      </c>
      <c r="B11" s="8" t="s">
        <v>30</v>
      </c>
      <c r="C11" s="8" t="s">
        <v>31</v>
      </c>
      <c r="D11" s="8" t="s">
        <v>32</v>
      </c>
      <c r="E11" s="8" t="s">
        <v>33</v>
      </c>
      <c r="F11" s="8" t="s">
        <v>34</v>
      </c>
    </row>
    <row r="12" customFormat="false" ht="42" hidden="false" customHeight="true" outlineLevel="0" collapsed="false">
      <c r="A12" s="5" t="n">
        <v>7</v>
      </c>
      <c r="B12" s="6" t="s">
        <v>35</v>
      </c>
      <c r="C12" s="6" t="s">
        <v>36</v>
      </c>
      <c r="D12" s="6" t="s">
        <v>37</v>
      </c>
      <c r="E12" s="6" t="s">
        <v>38</v>
      </c>
      <c r="F12" s="6" t="s">
        <v>39</v>
      </c>
    </row>
    <row r="13" customFormat="false" ht="42" hidden="false" customHeight="true" outlineLevel="0" collapsed="false">
      <c r="A13" s="7" t="n">
        <v>8</v>
      </c>
      <c r="B13" s="8" t="s">
        <v>40</v>
      </c>
      <c r="C13" s="8" t="s">
        <v>41</v>
      </c>
      <c r="D13" s="8" t="s">
        <v>42</v>
      </c>
      <c r="E13" s="8" t="s">
        <v>43</v>
      </c>
      <c r="F13" s="8" t="s">
        <v>44</v>
      </c>
    </row>
    <row r="14" customFormat="false" ht="42" hidden="false" customHeight="true" outlineLevel="0" collapsed="false">
      <c r="A14" s="5" t="n">
        <v>9</v>
      </c>
      <c r="B14" s="6" t="s">
        <v>45</v>
      </c>
      <c r="C14" s="6" t="s">
        <v>46</v>
      </c>
      <c r="D14" s="6" t="s">
        <v>47</v>
      </c>
      <c r="E14" s="6" t="s">
        <v>48</v>
      </c>
      <c r="F14" s="6" t="s">
        <v>49</v>
      </c>
    </row>
    <row r="15" customFormat="false" ht="42" hidden="false" customHeight="true" outlineLevel="0" collapsed="false">
      <c r="A15" s="7" t="n">
        <v>10</v>
      </c>
      <c r="B15" s="8" t="s">
        <v>45</v>
      </c>
      <c r="C15" s="8" t="s">
        <v>50</v>
      </c>
      <c r="D15" s="8" t="s">
        <v>15</v>
      </c>
      <c r="E15" s="8" t="s">
        <v>51</v>
      </c>
      <c r="F15" s="8" t="s">
        <v>52</v>
      </c>
    </row>
    <row r="16" customFormat="false" ht="42" hidden="false" customHeight="true" outlineLevel="0" collapsed="false">
      <c r="A16" s="5" t="n">
        <v>11</v>
      </c>
      <c r="B16" s="6" t="s">
        <v>9</v>
      </c>
      <c r="C16" s="6" t="s">
        <v>53</v>
      </c>
      <c r="D16" s="6" t="s">
        <v>54</v>
      </c>
      <c r="E16" s="6" t="s">
        <v>55</v>
      </c>
      <c r="F16" s="6" t="s">
        <v>56</v>
      </c>
    </row>
    <row r="17" customFormat="false" ht="42" hidden="false" customHeight="true" outlineLevel="0" collapsed="false">
      <c r="A17" s="7" t="n">
        <v>12</v>
      </c>
      <c r="B17" s="8" t="s">
        <v>57</v>
      </c>
      <c r="C17" s="8" t="s">
        <v>58</v>
      </c>
      <c r="D17" s="8" t="s">
        <v>59</v>
      </c>
      <c r="E17" s="8" t="s">
        <v>60</v>
      </c>
      <c r="F17" s="8" t="s">
        <v>61</v>
      </c>
    </row>
    <row r="18" customFormat="false" ht="42" hidden="false" customHeight="true" outlineLevel="0" collapsed="false">
      <c r="A18" s="5" t="n">
        <v>13</v>
      </c>
      <c r="B18" s="6" t="s">
        <v>62</v>
      </c>
      <c r="C18" s="6" t="s">
        <v>63</v>
      </c>
      <c r="D18" s="6" t="s">
        <v>59</v>
      </c>
      <c r="E18" s="6" t="s">
        <v>64</v>
      </c>
      <c r="F18" s="6" t="s">
        <v>65</v>
      </c>
    </row>
    <row r="19" customFormat="false" ht="42" hidden="false" customHeight="true" outlineLevel="0" collapsed="false">
      <c r="A19" s="7" t="n">
        <v>14</v>
      </c>
      <c r="B19" s="8" t="s">
        <v>9</v>
      </c>
      <c r="C19" s="8" t="s">
        <v>66</v>
      </c>
      <c r="D19" s="8" t="s">
        <v>59</v>
      </c>
      <c r="E19" s="8" t="s">
        <v>67</v>
      </c>
      <c r="F19" s="8" t="s">
        <v>68</v>
      </c>
    </row>
    <row r="20" customFormat="false" ht="42" hidden="false" customHeight="true" outlineLevel="0" collapsed="false">
      <c r="A20" s="5" t="n">
        <v>15</v>
      </c>
      <c r="B20" s="6" t="s">
        <v>69</v>
      </c>
      <c r="C20" s="6" t="s">
        <v>70</v>
      </c>
      <c r="D20" s="6" t="s">
        <v>71</v>
      </c>
      <c r="E20" s="6" t="s">
        <v>72</v>
      </c>
      <c r="F20" s="6" t="s">
        <v>73</v>
      </c>
    </row>
    <row r="21" customFormat="false" ht="42" hidden="false" customHeight="true" outlineLevel="0" collapsed="false">
      <c r="A21" s="7" t="n">
        <v>16</v>
      </c>
      <c r="B21" s="8" t="s">
        <v>9</v>
      </c>
      <c r="C21" s="8" t="s">
        <v>74</v>
      </c>
      <c r="D21" s="8" t="s">
        <v>75</v>
      </c>
      <c r="E21" s="8" t="s">
        <v>76</v>
      </c>
      <c r="F21" s="8" t="s">
        <v>77</v>
      </c>
    </row>
    <row r="22" customFormat="false" ht="42" hidden="false" customHeight="true" outlineLevel="0" collapsed="false">
      <c r="A22" s="5" t="n">
        <v>17</v>
      </c>
      <c r="B22" s="6" t="s">
        <v>9</v>
      </c>
      <c r="C22" s="6" t="s">
        <v>78</v>
      </c>
      <c r="D22" s="6" t="s">
        <v>79</v>
      </c>
      <c r="E22" s="6" t="s">
        <v>80</v>
      </c>
      <c r="F22" s="6" t="s">
        <v>81</v>
      </c>
    </row>
    <row r="23" customFormat="false" ht="42" hidden="false" customHeight="true" outlineLevel="0" collapsed="false">
      <c r="A23" s="7" t="n">
        <v>18</v>
      </c>
      <c r="B23" s="8" t="s">
        <v>9</v>
      </c>
      <c r="C23" s="8" t="s">
        <v>82</v>
      </c>
      <c r="D23" s="8" t="s">
        <v>83</v>
      </c>
      <c r="E23" s="8" t="s">
        <v>84</v>
      </c>
      <c r="F23" s="8" t="s">
        <v>85</v>
      </c>
    </row>
    <row r="24" customFormat="false" ht="42" hidden="false" customHeight="true" outlineLevel="0" collapsed="false">
      <c r="A24" s="5" t="n">
        <v>19</v>
      </c>
      <c r="B24" s="6" t="s">
        <v>9</v>
      </c>
      <c r="C24" s="6" t="s">
        <v>86</v>
      </c>
      <c r="D24" s="6" t="s">
        <v>87</v>
      </c>
      <c r="E24" s="6" t="s">
        <v>88</v>
      </c>
      <c r="F24" s="6" t="s">
        <v>89</v>
      </c>
    </row>
    <row r="25" customFormat="false" ht="42" hidden="false" customHeight="true" outlineLevel="0" collapsed="false">
      <c r="A25" s="7" t="n">
        <v>20</v>
      </c>
      <c r="B25" s="8" t="s">
        <v>9</v>
      </c>
      <c r="C25" s="8" t="s">
        <v>90</v>
      </c>
      <c r="D25" s="8" t="s">
        <v>91</v>
      </c>
      <c r="E25" s="8" t="s">
        <v>92</v>
      </c>
      <c r="F25" s="8" t="s">
        <v>93</v>
      </c>
    </row>
    <row r="26" customFormat="false" ht="42" hidden="false" customHeight="true" outlineLevel="0" collapsed="false">
      <c r="A26" s="5" t="n">
        <v>21</v>
      </c>
      <c r="B26" s="6" t="s">
        <v>40</v>
      </c>
      <c r="C26" s="6" t="s">
        <v>94</v>
      </c>
      <c r="D26" s="6" t="s">
        <v>95</v>
      </c>
      <c r="E26" s="6" t="s">
        <v>96</v>
      </c>
      <c r="F26" s="6" t="s">
        <v>97</v>
      </c>
    </row>
    <row r="27" customFormat="false" ht="42" hidden="false" customHeight="true" outlineLevel="0" collapsed="false">
      <c r="A27" s="7" t="n">
        <v>22</v>
      </c>
      <c r="B27" s="8" t="s">
        <v>40</v>
      </c>
      <c r="C27" s="8" t="s">
        <v>98</v>
      </c>
      <c r="D27" s="8" t="s">
        <v>99</v>
      </c>
      <c r="E27" s="8" t="s">
        <v>100</v>
      </c>
      <c r="F27" s="8" t="s">
        <v>101</v>
      </c>
    </row>
    <row r="28" customFormat="false" ht="42" hidden="false" customHeight="true" outlineLevel="0" collapsed="false">
      <c r="A28" s="5" t="n">
        <v>23</v>
      </c>
      <c r="B28" s="6" t="s">
        <v>9</v>
      </c>
      <c r="C28" s="6" t="s">
        <v>102</v>
      </c>
      <c r="D28" s="6" t="s">
        <v>103</v>
      </c>
      <c r="E28" s="6" t="s">
        <v>104</v>
      </c>
      <c r="F28" s="6" t="s">
        <v>105</v>
      </c>
    </row>
    <row r="29" customFormat="false" ht="42" hidden="false" customHeight="true" outlineLevel="0" collapsed="false">
      <c r="A29" s="7" t="n">
        <v>24</v>
      </c>
      <c r="B29" s="8" t="s">
        <v>106</v>
      </c>
      <c r="C29" s="8" t="s">
        <v>107</v>
      </c>
      <c r="D29" s="8" t="s">
        <v>108</v>
      </c>
      <c r="E29" s="8" t="s">
        <v>109</v>
      </c>
      <c r="F29" s="8" t="s">
        <v>110</v>
      </c>
    </row>
    <row r="30" customFormat="false" ht="42" hidden="false" customHeight="true" outlineLevel="0" collapsed="false">
      <c r="A30" s="5" t="n">
        <v>25</v>
      </c>
      <c r="B30" s="6" t="s">
        <v>106</v>
      </c>
      <c r="C30" s="6" t="s">
        <v>111</v>
      </c>
      <c r="D30" s="6" t="s">
        <v>103</v>
      </c>
      <c r="E30" s="6" t="s">
        <v>112</v>
      </c>
      <c r="F30" s="6" t="s">
        <v>113</v>
      </c>
    </row>
    <row r="31" customFormat="false" ht="42" hidden="false" customHeight="true" outlineLevel="0" collapsed="false">
      <c r="A31" s="7" t="n">
        <v>26</v>
      </c>
      <c r="B31" s="8" t="s">
        <v>106</v>
      </c>
      <c r="C31" s="8" t="s">
        <v>114</v>
      </c>
      <c r="D31" s="8" t="s">
        <v>79</v>
      </c>
      <c r="E31" s="8" t="s">
        <v>115</v>
      </c>
      <c r="F31" s="8" t="s">
        <v>116</v>
      </c>
    </row>
    <row r="32" customFormat="false" ht="42" hidden="false" customHeight="true" outlineLevel="0" collapsed="false">
      <c r="A32" s="5" t="n">
        <v>27</v>
      </c>
      <c r="B32" s="6" t="s">
        <v>22</v>
      </c>
      <c r="C32" s="6" t="s">
        <v>117</v>
      </c>
      <c r="D32" s="6" t="s">
        <v>118</v>
      </c>
      <c r="E32" s="6" t="s">
        <v>119</v>
      </c>
      <c r="F32" s="6" t="s">
        <v>120</v>
      </c>
    </row>
    <row r="33" customFormat="false" ht="42" hidden="false" customHeight="true" outlineLevel="0" collapsed="false">
      <c r="A33" s="7" t="n">
        <v>28</v>
      </c>
      <c r="B33" s="8" t="s">
        <v>9</v>
      </c>
      <c r="C33" s="8" t="s">
        <v>121</v>
      </c>
      <c r="D33" s="8" t="s">
        <v>118</v>
      </c>
      <c r="E33" s="8" t="s">
        <v>122</v>
      </c>
      <c r="F33" s="8" t="s">
        <v>123</v>
      </c>
    </row>
    <row r="34" customFormat="false" ht="42" hidden="false" customHeight="true" outlineLevel="0" collapsed="false">
      <c r="A34" s="5" t="n">
        <v>29</v>
      </c>
      <c r="B34" s="6" t="s">
        <v>9</v>
      </c>
      <c r="C34" s="6" t="s">
        <v>124</v>
      </c>
      <c r="D34" s="6" t="s">
        <v>125</v>
      </c>
      <c r="E34" s="6" t="s">
        <v>126</v>
      </c>
      <c r="F34" s="6" t="s">
        <v>127</v>
      </c>
    </row>
    <row r="35" customFormat="false" ht="42" hidden="false" customHeight="true" outlineLevel="0" collapsed="false">
      <c r="A35" s="7" t="n">
        <v>30</v>
      </c>
      <c r="B35" s="8" t="s">
        <v>128</v>
      </c>
      <c r="C35" s="8" t="s">
        <v>129</v>
      </c>
      <c r="D35" s="8" t="s">
        <v>130</v>
      </c>
      <c r="E35" s="8" t="s">
        <v>131</v>
      </c>
      <c r="F35" s="8" t="s">
        <v>132</v>
      </c>
    </row>
    <row r="37" customFormat="false" ht="15" hidden="false" customHeight="false" outlineLevel="0" collapsed="false">
      <c r="B37" s="9" t="s">
        <v>133</v>
      </c>
      <c r="C37" s="10" t="n">
        <f aca="false">COUNTA(B6:B35)</f>
        <v>30</v>
      </c>
    </row>
    <row r="38" customFormat="false" ht="15" hidden="false" customHeight="false" outlineLevel="0" collapsed="false">
      <c r="B38" s="9" t="s">
        <v>134</v>
      </c>
      <c r="C38" s="10" t="n">
        <f aca="false">COUNTA(C6:C35)</f>
        <v>30</v>
      </c>
    </row>
    <row r="39" customFormat="false" ht="15" hidden="false" customHeight="false" outlineLevel="0" collapsed="false">
      <c r="B39" s="9" t="s">
        <v>135</v>
      </c>
      <c r="C39" s="10" t="n">
        <f aca="false">COUNTA(D6:D35)</f>
        <v>30</v>
      </c>
    </row>
    <row r="41" customFormat="false" ht="15" hidden="false" customHeight="true" outlineLevel="0" collapsed="false">
      <c r="B41" s="11" t="s">
        <v>136</v>
      </c>
      <c r="C41" s="11"/>
      <c r="D41" s="11"/>
      <c r="E41" s="11"/>
      <c r="F41" s="11"/>
    </row>
    <row r="42" customFormat="false" ht="15" hidden="false" customHeight="false" outlineLevel="0" collapsed="false">
      <c r="B42" s="11"/>
      <c r="C42" s="11"/>
      <c r="D42" s="11"/>
      <c r="E42" s="11"/>
      <c r="F42" s="11"/>
    </row>
  </sheetData>
  <autoFilter ref="A5:F35"/>
  <mergeCells count="4">
    <mergeCell ref="A1:F1"/>
    <mergeCell ref="A2:F2"/>
    <mergeCell ref="A3:F3"/>
    <mergeCell ref="B41:F4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2026-08-06T04:01:24Z</dcterms:created>
  <dc:creator>openpyxl</dc:creator>
  <dc:description/>
  <dc:language>en-US</dc:language>
  <cp:lastModifiedBy/>
  <dcterms:modified xsi:type="dcterms:W3CDTF">2026-08-06T04:01:24Z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